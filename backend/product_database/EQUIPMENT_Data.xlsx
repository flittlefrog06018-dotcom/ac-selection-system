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50DAA8EF-6ED2-42DD-B8AF-6CF452F35FB9}" xr6:coauthVersionLast="47" xr6:coauthVersionMax="47" xr10:uidLastSave="{00000000-0000-0000-0000-000000000000}"/>
  <bookViews>
    <workbookView xWindow="2028" yWindow="2088" windowWidth="17640" windowHeight="9444" firstSheet="3" activeTab="5" xr2:uid="{B9AE4098-F0A1-4C76-B9D5-37F1BE2208A4}"/>
  </bookViews>
  <sheets>
    <sheet name="indoor_units" sheetId="1" r:id="rId1"/>
    <sheet name="controller&amp;pipe" sheetId="5" r:id="rId2"/>
    <sheet name="outdoor_units" sheetId="2" r:id="rId3"/>
    <sheet name="indoor_units_SA only" sheetId="3" r:id="rId4"/>
    <sheet name="outdoor_units_SA only" sheetId="4" r:id="rId5"/>
    <sheet name="HRV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7" i="7" l="1"/>
  <c r="L7" i="7"/>
  <c r="K7" i="7"/>
  <c r="J7" i="7"/>
  <c r="I7" i="7"/>
  <c r="H7" i="7"/>
  <c r="G7" i="7"/>
  <c r="F7" i="7"/>
  <c r="E7" i="7"/>
  <c r="C20" i="5"/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<sst xmlns="http://schemas.openxmlformats.org/spreadsheetml/2006/main" count="3863" uniqueCount="653">
  <si>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</si>
  <si>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</si>
  <si>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</si>
  <si>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</si>
  <si>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</si>
  <si>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</si>
  <si>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</si>
  <si>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</si>
  <si>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</si>
  <si>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</si>
  <si>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</si>
  <si>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</si>
  <si>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</si>
  <si>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</si>
  <si>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</si>
  <si>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</si>
  <si>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</si>
  <si>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</si>
  <si>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</si>
  <si>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</si>
  <si>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</si>
  <si>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</si>
  <si>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</si>
  <si>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</si>
  <si>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</si>
  <si>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</si>
  <si>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</si>
  <si>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</si>
  <si>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</si>
  <si>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</si>
  <si>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</si>
  <si>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</si>
  <si>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</si>
  <si>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</si>
  <si>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</si>
  <si>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</si>
  <si>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</si>
  <si>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</si>
  <si>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</si>
  <si>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</si>
  <si>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</si>
  <si>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</si>
  <si>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</si>
  <si>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</si>
  <si>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</si>
  <si>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</si>
  <si>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</si>
  <si>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</si>
  <si>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</si>
  <si>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</si>
  <si>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</si>
  <si>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</si>
  <si>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</si>
  <si>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</si>
  <si>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</si>
  <si>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</si>
  <si>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</si>
  <si>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</si>
  <si>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</si>
  <si>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</si>
  <si>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</si>
  <si>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</si>
  <si>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</si>
  <si>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</si>
  <si>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</si>
  <si>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</si>
  <si>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</si>
  <si>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</si>
  <si>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</si>
  <si>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</si>
  <si>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</si>
  <si>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</si>
  <si>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</si>
  <si>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</si>
  <si>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</si>
  <si>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</si>
  <si>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</si>
  <si>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</si>
  <si>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</si>
  <si>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</si>
  <si>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</si>
  <si>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</si>
  <si>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</si>
  <si>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</si>
  <si>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</si>
  <si>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</si>
  <si>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</si>
  <si>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</si>
  <si>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</si>
  <si>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</si>
  <si>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</si>
  <si>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</si>
  <si>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</si>
  <si>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</si>
  <si>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</si>
  <si>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</si>
  <si>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</si>
  <si>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</si>
  <si>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</si>
  <si>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</si>
  <si>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</si>
  <si>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</si>
  <si>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</si>
  <si>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</si>
  <si>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</si>
  <si>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</si>
  <si>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</si>
  <si>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</si>
  <si>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</si>
  <si>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</si>
  <si>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</si>
  <si>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</si>
  <si>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</si>
  <si>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</si>
  <si>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</si>
  <si>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</si>
  <si>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</si>
  <si>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</si>
  <si>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</si>
  <si>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</si>
  <si>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</si>
  <si>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</si>
  <si>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</si>
  <si>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</si>
  <si>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</si>
  <si>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</si>
  <si>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</si>
  <si>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</si>
  <si>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</si>
  <si>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</si>
  <si>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</si>
  <si>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</si>
  <si>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</si>
  <si>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</si>
  <si>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</si>
  <si>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</si>
  <si>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</si>
  <si>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</si>
  <si>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</si>
  <si>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</si>
  <si>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</si>
  <si>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</si>
  <si>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</si>
  <si>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</si>
  <si>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</si>
  <si>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</si>
  <si>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</si>
  <si>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</si>
  <si>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</si>
  <si>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</si>
  <si>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</si>
  <si>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</si>
  <si>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</si>
  <si>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</si>
  <si>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</si>
  <si>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</si>
  <si>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</si>
  <si>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</si>
  <si>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</si>
  <si>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</si>
  <si>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</si>
  <si>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</si>
  <si>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</si>
  <si>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</si>
  <si>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</si>
  <si>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</si>
  <si>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</si>
  <si>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</si>
  <si>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</si>
  <si>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</si>
  <si>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</si>
  <si>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</si>
  <si>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</si>
  <si>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</si>
  <si>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</si>
  <si>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</si>
  <si>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</si>
  <si>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</si>
  <si>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</si>
  <si>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</si>
  <si>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</si>
  <si>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</si>
  <si>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</si>
  <si>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</si>
  <si>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</si>
  <si>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</si>
  <si>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</si>
  <si>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</si>
  <si>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</si>
  <si>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</si>
  <si>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</si>
  <si>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</si>
  <si>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</si>
  <si>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</si>
  <si>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</si>
  <si>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</si>
  <si>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</si>
  <si>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</si>
  <si>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</si>
  <si>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</si>
  <si>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</si>
  <si>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</si>
  <si>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</si>
  <si>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</si>
  <si>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</si>
  <si>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</si>
  <si>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</si>
  <si>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</si>
  <si>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</si>
  <si>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</si>
  <si>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</si>
  <si>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</si>
  <si>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</si>
  <si>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</si>
  <si>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</si>
  <si>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</si>
  <si>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</si>
  <si>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</si>
  <si>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</si>
  <si>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</si>
  <si>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</si>
  <si>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</si>
  <si>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</si>
  <si>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</si>
  <si>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</si>
  <si>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</si>
  <si>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</si>
  <si>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</si>
  <si>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</si>
  <si>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</si>
  <si>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</si>
  <si>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</si>
  <si>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</si>
  <si>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</si>
  <si>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</si>
  <si>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</si>
  <si>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</si>
  <si>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</si>
  <si>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</si>
  <si>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</si>
  <si>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</si>
  <si>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</si>
  <si>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</si>
  <si>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</si>
  <si>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</si>
  <si>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</si>
  <si>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</si>
  <si>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</si>
  <si>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</si>
  <si>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</si>
  <si>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</si>
  <si>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</si>
  <si>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</si>
  <si>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</si>
  <si>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</si>
  <si>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</si>
  <si>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</si>
  <si>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</si>
  <si>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</si>
  <si>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</si>
  <si>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</si>
  <si>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</si>
  <si>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</si>
  <si>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</si>
  <si>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</si>
  <si>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</si>
  <si>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</si>
  <si>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</si>
  <si>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</si>
  <si>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</si>
  <si>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</si>
  <si>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</si>
  <si>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</si>
  <si>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</si>
  <si>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</si>
  <si>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</si>
  <si>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</si>
  <si>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</si>
  <si>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</si>
  <si>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</si>
  <si>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</si>
  <si>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</si>
  <si>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</si>
  <si>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</si>
  <si>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</si>
  <si>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</si>
  <si>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</si>
  <si>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</si>
  <si>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</si>
  <si>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</si>
  <si>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</si>
  <si>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</si>
  <si>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</si>
  <si>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</si>
  <si>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</si>
  <si>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</si>
  <si>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</si>
  <si>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</si>
  <si>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</si>
  <si>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</si>
  <si>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</si>
  <si>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</si>
  <si>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</si>
  <si>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</si>
  <si>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</si>
  <si>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</si>
  <si>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</si>
  <si>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</si>
  <si>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</si>
  <si>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</si>
  <si>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</si>
  <si>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</si>
  <si>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</si>
  <si>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</si>
  <si>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</si>
  <si>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</si>
  <si>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</si>
  <si>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</si>
  <si>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</si>
  <si>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</si>
  <si>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</si>
  <si>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</si>
  <si>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</si>
  <si>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</si>
  <si>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</si>
  <si>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</si>
  <si>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</si>
  <si>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</si>
  <si>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</si>
  <si>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</si>
  <si>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</si>
  <si>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</si>
  <si>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</si>
  <si>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</si>
  <si>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</si>
  <si>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</si>
  <si>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</si>
  <si>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</si>
  <si>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</si>
  <si>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</si>
  <si>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</si>
  <si>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</si>
  <si>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</si>
  <si>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</si>
  <si>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</si>
  <si>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</si>
  <si>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</si>
  <si>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</si>
  <si>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</si>
  <si>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</si>
  <si>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</si>
  <si>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</si>
  <si>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</si>
  <si>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</si>
  <si>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</si>
  <si>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</si>
  <si>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</si>
  <si>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</si>
  <si>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</si>
  <si>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</si>
  <si>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</si>
  <si>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</si>
  <si>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</si>
  <si>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</si>
  <si>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</si>
  <si>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</si>
  <si>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</si>
  <si>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</si>
  <si>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</si>
  <si>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</si>
  <si>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</si>
  <si>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</si>
  <si>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</si>
  <si>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</si>
  <si>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</si>
  <si>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</si>
  <si>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</si>
  <si>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</si>
  <si>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</si>
  <si>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</si>
  <si>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</si>
  <si>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</si>
  <si>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</si>
  <si>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</si>
  <si>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</si>
  <si>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</si>
  <si>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</si>
  <si>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</si>
  <si>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</si>
  <si>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</si>
  <si>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</si>
  <si>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</si>
  <si>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</si>
  <si>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</si>
  <si>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</si>
  <si>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</si>
  <si>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</si>
  <si>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</si>
  <si>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</si>
  <si>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</si>
  <si>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</si>
  <si>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</si>
  <si>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</si>
  <si>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</si>
  <si>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</si>
  <si>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</si>
  <si>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</si>
  <si>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</si>
  <si>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</si>
  <si>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</si>
  <si>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</si>
  <si>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</si>
  <si>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</si>
  <si>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</si>
  <si>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</si>
  <si>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</si>
  <si>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</si>
  <si>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</si>
  <si>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</si>
  <si>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</si>
  <si>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</si>
  <si>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</si>
  <si>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</si>
  <si>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</si>
  <si>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</si>
  <si>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</si>
  <si>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</si>
  <si>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</si>
  <si>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</si>
  <si>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</si>
  <si>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</si>
  <si>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</si>
  <si>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</si>
  <si>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</si>
  <si>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</si>
  <si>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</si>
  <si>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</si>
  <si>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</si>
  <si>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</si>
  <si>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</si>
  <si>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</si>
  <si>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</si>
  <si>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</si>
  <si>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</si>
  <si>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</si>
  <si>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</si>
  <si>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</si>
  <si>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</si>
  <si>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</si>
  <si>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</si>
  <si>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</si>
  <si>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</si>
  <si>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</si>
  <si>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</si>
  <si>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</si>
  <si>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</si>
  <si>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</si>
  <si>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</si>
  <si>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</si>
  <si>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</si>
  <si>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</si>
  <si>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</si>
  <si>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</si>
  <si>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</si>
  <si>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</si>
  <si>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</si>
  <si>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</si>
  <si>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</si>
  <si>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</si>
  <si>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</si>
  <si>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</si>
  <si>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</si>
  <si>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</si>
  <si>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</si>
  <si>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</si>
  <si>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</si>
  <si>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</si>
  <si>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</si>
  <si>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</si>
  <si>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</si>
  <si>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</si>
  <si>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</si>
  <si>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</si>
  <si>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</si>
  <si>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</si>
  <si>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</si>
  <si>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</si>
  <si>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</si>
  <si>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</si>
  <si>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</si>
  <si>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</si>
  <si>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</si>
  <si>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</si>
  <si>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</si>
  <si>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</si>
  <si>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</si>
  <si>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</si>
  <si>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</si>
  <si>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</si>
  <si>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</si>
  <si>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</si>
  <si>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</si>
  <si>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</si>
  <si>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</si>
  <si>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</si>
  <si>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</si>
  <si>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</si>
  <si>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</si>
  <si>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</si>
  <si>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</si>
  <si>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</si>
  <si>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</si>
  <si>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</si>
  <si>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</si>
  <si>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</si>
  <si>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</si>
  <si>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</si>
  <si>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</si>
  <si>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</si>
  <si>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</si>
  <si>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</si>
  <si>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</si>
  <si>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</si>
  <si>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</si>
  <si>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</si>
  <si>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</si>
  <si>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</si>
  <si>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</si>
  <si>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</si>
  <si>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</si>
  <si>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</si>
  <si>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</si>
  <si>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</si>
  <si>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</si>
  <si>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</si>
  <si>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</si>
  <si>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</si>
  <si>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</si>
  <si>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</si>
  <si>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</si>
  <si>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</si>
  <si>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</si>
  <si>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</si>
  <si>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</si>
  <si>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</si>
  <si>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</si>
  <si>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</si>
  <si>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</si>
  <si>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</si>
  <si>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</si>
  <si>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</si>
  <si>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</si>
  <si>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</si>
  <si>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</si>
  <si>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</si>
  <si>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</si>
  <si>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</si>
  <si>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</si>
  <si>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</si>
  <si>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</si>
  <si>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</si>
  <si>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</si>
  <si>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</si>
  <si>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</si>
  <si>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</si>
  <si>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</si>
  <si>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</si>
  <si>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</si>
  <si>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</si>
  <si>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</si>
  <si>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</si>
  <si>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</si>
  <si>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</si>
  <si>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</si>
  <si>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</si>
  <si>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</si>
  <si>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</si>
  <si>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</si>
  <si>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</si>
  <si>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</si>
  <si>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</si>
  <si>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</si>
  <si>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</si>
  <si>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</si>
  <si>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</si>
  <si>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</si>
  <si>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</si>
  <si>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</si>
  <si>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</si>
  <si>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</si>
  <si>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</si>
  <si>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</si>
  <si>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</si>
  <si>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</si>
  <si>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</si>
  <si>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</si>
  <si>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</si>
  <si>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</si>
  <si>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</si>
  <si>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</si>
  <si>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</si>
  <si>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</si>
  <si>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</si>
  <si>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</si>
  <si>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</si>
  <si>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</si>
  <si>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</si>
  <si>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</si>
  <si>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</si>
  <si>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</si>
  <si>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</si>
  <si>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</si>
  <si>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</si>
  <si>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</si>
  <si>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</si>
  <si>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</si>
  <si>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</si>
  <si>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</si>
  <si>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</si>
  <si>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</si>
  <si>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</si>
  <si>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</si>
  <si>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</si>
  <si>
    <t>DCPH01H</t>
    <phoneticPr fontId="1" type="noConversion"/>
  </si>
  <si>
    <t>含Z-wave</t>
    <phoneticPr fontId="1" type="noConversion"/>
  </si>
  <si>
    <t>伶俐智控管理器-住宅</t>
    <phoneticPr fontId="1" type="noConversion"/>
  </si>
  <si>
    <t>VRV分歧頭</t>
    <phoneticPr fontId="1" type="noConversion"/>
  </si>
  <si>
    <t>KHRP26A22T</t>
    <phoneticPr fontId="1" type="noConversion"/>
  </si>
  <si>
    <t>KHRP26A33T</t>
    <phoneticPr fontId="1" type="noConversion"/>
  </si>
  <si>
    <t>KHRP26A72T</t>
    <phoneticPr fontId="1" type="noConversion"/>
  </si>
  <si>
    <t>KHRP26A73T</t>
    <phoneticPr fontId="1" type="noConversion"/>
  </si>
  <si>
    <t>室內機分歧頭</t>
    <phoneticPr fontId="1" type="noConversion"/>
  </si>
  <si>
    <t>BHFP22P100</t>
    <phoneticPr fontId="1" type="noConversion"/>
  </si>
  <si>
    <t>BHFP22P151</t>
    <phoneticPr fontId="1" type="noConversion"/>
  </si>
  <si>
    <t>全熱交換器</t>
    <phoneticPr fontId="1" type="noConversion"/>
  </si>
  <si>
    <t>HRV</t>
    <phoneticPr fontId="1" type="noConversion"/>
  </si>
  <si>
    <t>循環風量(CMH)</t>
    <phoneticPr fontId="1" type="noConversion"/>
  </si>
  <si>
    <t>VAM150HVLT</t>
    <phoneticPr fontId="1" type="noConversion"/>
  </si>
  <si>
    <t>VAM250HVLT</t>
    <phoneticPr fontId="1" type="noConversion"/>
  </si>
  <si>
    <t>VAM350HVLT</t>
    <phoneticPr fontId="1" type="noConversion"/>
  </si>
  <si>
    <t>VAM500HVLT</t>
    <phoneticPr fontId="1" type="noConversion"/>
  </si>
  <si>
    <t>VAM650HVLT</t>
    <phoneticPr fontId="1" type="noConversion"/>
  </si>
  <si>
    <t>VAM800HVLT</t>
    <phoneticPr fontId="1" type="noConversion"/>
  </si>
  <si>
    <t>VAM1000HVLT</t>
    <phoneticPr fontId="1" type="noConversion"/>
  </si>
  <si>
    <t>VAM1500HVLT</t>
    <phoneticPr fontId="1" type="noConversion"/>
  </si>
  <si>
    <t>VAM2000HVLT</t>
    <phoneticPr fontId="1" type="noConversion"/>
  </si>
  <si>
    <t>PM2.5濾網</t>
    <phoneticPr fontId="1" type="noConversion"/>
  </si>
  <si>
    <t>尺寸</t>
    <phoneticPr fontId="1" type="noConversion"/>
  </si>
  <si>
    <t>278×551×810</t>
    <phoneticPr fontId="1" type="noConversion"/>
  </si>
  <si>
    <t>306×800×879</t>
    <phoneticPr fontId="1" type="noConversion"/>
  </si>
  <si>
    <t>338×832×973</t>
    <phoneticPr fontId="1" type="noConversion"/>
  </si>
  <si>
    <t>387×1,012×1,110</t>
    <phoneticPr fontId="1" type="noConversion"/>
  </si>
  <si>
    <t>785×1,012×1,110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</si>
</sst>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177" fontId="2" fillId="0" borderId="2" xfId="0" applyNumberFormat="1" applyFont="1" applyFill="1" applyBorder="1" applyAlignment="1">
      <alignment horizontal="center" vertical="center" wrapText="1" readingOrder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topLeftCell="A10" zoomScale="85" zoomScaleNormal="85" workbookViewId="0">
      <selection activeCell="L10" sqref="L10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T20"/>
  <sheetViews>
    <sheetView zoomScale="70" zoomScaleNormal="70" workbookViewId="0">
      <selection activeCell="Q19" sqref="Q19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  <col min="15" max="15" width="13.109375" bestFit="1" customWidth="1"/>
    <col min="18" max="18" width="14.6640625" bestFit="1" customWidth="1"/>
    <col min="20" max="20" width="15.6640625" bestFit="1" customWidth="1"/>
  </cols>
  <sheetData>
    <row r="1" spans="1:20" x14ac:dyDescent="0.3">
      <c r="A1" t="s">
        <v>569</v>
      </c>
      <c r="F1" t="s">
        <v>531</v>
      </c>
      <c r="I1" t="s">
        <v>611</v>
      </c>
      <c r="L1" t="s">
        <v>612</v>
      </c>
      <c r="O1" t="s">
        <v>557</v>
      </c>
      <c r="R1" t="s">
        <v>626</v>
      </c>
    </row>
    <row r="2" spans="1:20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  <c r="O2" t="s">
        <v>605</v>
      </c>
      <c r="P2" t="s">
        <v>607</v>
      </c>
      <c r="R2" t="s">
        <v>605</v>
      </c>
      <c r="S2" t="s">
        <v>607</v>
      </c>
      <c r="T2" t="s">
        <v>610</v>
      </c>
    </row>
    <row r="3" spans="1:20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  <c r="O3" t="s">
        <v>561</v>
      </c>
      <c r="P3">
        <v>4500</v>
      </c>
      <c r="R3" t="s">
        <v>627</v>
      </c>
      <c r="S3">
        <v>1700</v>
      </c>
      <c r="T3" t="s">
        <v>631</v>
      </c>
    </row>
    <row r="4" spans="1:20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  <c r="R4" t="s">
        <v>628</v>
      </c>
      <c r="S4">
        <v>2400</v>
      </c>
      <c r="T4" t="s">
        <v>631</v>
      </c>
    </row>
    <row r="5" spans="1:20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  <c r="R5" t="s">
        <v>629</v>
      </c>
      <c r="S5">
        <v>3300</v>
      </c>
      <c r="T5" t="s">
        <v>631</v>
      </c>
    </row>
    <row r="6" spans="1:20" x14ac:dyDescent="0.3">
      <c r="A6" s="61" t="s">
        <v>574</v>
      </c>
      <c r="B6" s="61" t="s">
        <v>576</v>
      </c>
      <c r="C6">
        <v>22800</v>
      </c>
      <c r="D6" t="s">
        <v>609</v>
      </c>
      <c r="R6" t="s">
        <v>630</v>
      </c>
      <c r="S6">
        <v>4600</v>
      </c>
      <c r="T6" t="s">
        <v>631</v>
      </c>
    </row>
    <row r="7" spans="1:20" x14ac:dyDescent="0.3">
      <c r="A7" t="s">
        <v>575</v>
      </c>
      <c r="B7" t="s">
        <v>577</v>
      </c>
      <c r="C7">
        <v>7350</v>
      </c>
      <c r="R7" t="s">
        <v>632</v>
      </c>
      <c r="S7">
        <v>3700</v>
      </c>
      <c r="T7" t="s">
        <v>533</v>
      </c>
    </row>
    <row r="8" spans="1:20" x14ac:dyDescent="0.3">
      <c r="A8" s="61" t="s">
        <v>578</v>
      </c>
      <c r="B8" s="61" t="s">
        <v>582</v>
      </c>
      <c r="C8">
        <v>25000</v>
      </c>
      <c r="D8" t="s">
        <v>609</v>
      </c>
      <c r="R8" t="s">
        <v>633</v>
      </c>
      <c r="S8">
        <v>7500</v>
      </c>
      <c r="T8" t="s">
        <v>533</v>
      </c>
    </row>
    <row r="9" spans="1:20" x14ac:dyDescent="0.3">
      <c r="A9" t="s">
        <v>579</v>
      </c>
      <c r="B9" t="s">
        <v>583</v>
      </c>
      <c r="C9">
        <v>2800</v>
      </c>
    </row>
    <row r="10" spans="1:20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20" x14ac:dyDescent="0.3">
      <c r="A11" t="s">
        <v>586</v>
      </c>
      <c r="B11" t="s">
        <v>587</v>
      </c>
      <c r="C11">
        <v>28600</v>
      </c>
    </row>
    <row r="12" spans="1:20" x14ac:dyDescent="0.3">
      <c r="A12" t="s">
        <v>588</v>
      </c>
      <c r="B12" t="s">
        <v>589</v>
      </c>
      <c r="C12">
        <v>19400</v>
      </c>
    </row>
    <row r="13" spans="1:20" x14ac:dyDescent="0.3">
      <c r="A13" t="s">
        <v>591</v>
      </c>
      <c r="B13" t="s">
        <v>592</v>
      </c>
      <c r="C13">
        <v>19400</v>
      </c>
      <c r="D13" t="s">
        <v>593</v>
      </c>
    </row>
    <row r="14" spans="1:20" x14ac:dyDescent="0.3">
      <c r="A14" t="s">
        <v>590</v>
      </c>
      <c r="B14" t="s">
        <v>597</v>
      </c>
      <c r="C14">
        <v>27500</v>
      </c>
    </row>
    <row r="15" spans="1:20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20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  <row r="20" spans="1:4" x14ac:dyDescent="0.3">
      <c r="A20" s="61" t="s">
        <v>623</v>
      </c>
      <c r="B20" s="61" t="s">
        <v>625</v>
      </c>
      <c r="C20">
        <f>25350+2350</f>
        <v>27700</v>
      </c>
      <c r="D20" t="s">
        <v>624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12" sqref="E12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10" workbookViewId="0">
      <selection activeCell="A18" sqref="A18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E11" activePane="bottomRight" state="frozen"/>
      <selection pane="topRight" activeCell="E1" sqref="E1"/>
      <selection pane="bottomLeft" activeCell="A2" sqref="A2"/>
      <selection pane="bottomRight" activeCell="E15" sqref="E1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01A9-3653-4C55-BE38-1F4E2BEE205E}">
  <dimension ref="A2:M10"/>
  <sheetViews>
    <sheetView tabSelected="1" workbookViewId="0">
      <selection activeCell="I11" sqref="I11"/>
    </sheetView>
  </sheetViews>
  <sheetFormatPr defaultRowHeight="16.2" x14ac:dyDescent="0.3"/>
  <cols>
    <col min="1" max="2" width="16.21875" customWidth="1"/>
    <col min="3" max="4" width="16.21875" hidden="1" customWidth="1"/>
    <col min="5" max="10" width="15.5546875" bestFit="1" customWidth="1"/>
    <col min="11" max="13" width="16.6640625" bestFit="1" customWidth="1"/>
  </cols>
  <sheetData>
    <row r="2" spans="1:13" x14ac:dyDescent="0.3">
      <c r="A2" s="65" t="s">
        <v>634</v>
      </c>
      <c r="B2" s="65"/>
      <c r="C2" s="65"/>
      <c r="D2" s="65"/>
      <c r="E2" s="12" t="s">
        <v>635</v>
      </c>
      <c r="F2" s="12" t="s">
        <v>635</v>
      </c>
      <c r="G2" s="12" t="s">
        <v>635</v>
      </c>
      <c r="H2" s="12" t="s">
        <v>635</v>
      </c>
      <c r="I2" s="12" t="s">
        <v>635</v>
      </c>
      <c r="J2" s="12" t="s">
        <v>635</v>
      </c>
      <c r="K2" s="12" t="s">
        <v>635</v>
      </c>
      <c r="L2" s="12" t="s">
        <v>635</v>
      </c>
      <c r="M2" s="12" t="s">
        <v>635</v>
      </c>
    </row>
    <row r="3" spans="1:13" x14ac:dyDescent="0.3">
      <c r="A3" s="65" t="s">
        <v>605</v>
      </c>
      <c r="B3" s="65" t="s">
        <v>55</v>
      </c>
      <c r="C3" s="65"/>
      <c r="D3" s="65"/>
      <c r="E3" s="12" t="s">
        <v>637</v>
      </c>
      <c r="F3" s="12" t="s">
        <v>638</v>
      </c>
      <c r="G3" s="12" t="s">
        <v>639</v>
      </c>
      <c r="H3" s="12" t="s">
        <v>640</v>
      </c>
      <c r="I3" s="12" t="s">
        <v>641</v>
      </c>
      <c r="J3" s="12" t="s">
        <v>642</v>
      </c>
      <c r="K3" s="12" t="s">
        <v>643</v>
      </c>
      <c r="L3" s="12" t="s">
        <v>644</v>
      </c>
      <c r="M3" s="12" t="s">
        <v>645</v>
      </c>
    </row>
    <row r="4" spans="1:13" ht="31.2" x14ac:dyDescent="0.3">
      <c r="A4" s="65" t="s">
        <v>636</v>
      </c>
      <c r="B4" s="65" t="s">
        <v>60</v>
      </c>
      <c r="C4" s="65"/>
      <c r="D4" s="65"/>
      <c r="E4" s="12">
        <v>150</v>
      </c>
      <c r="F4" s="12">
        <v>250</v>
      </c>
      <c r="G4" s="12">
        <v>350</v>
      </c>
      <c r="H4" s="12">
        <v>500</v>
      </c>
      <c r="I4" s="12">
        <v>650</v>
      </c>
      <c r="J4" s="12">
        <v>800</v>
      </c>
      <c r="K4" s="12">
        <v>1000</v>
      </c>
      <c r="L4" s="12">
        <v>1500</v>
      </c>
      <c r="M4" s="12">
        <v>2000</v>
      </c>
    </row>
    <row r="5" spans="1:13" x14ac:dyDescent="0.3">
      <c r="A5" s="65" t="s">
        <v>646</v>
      </c>
      <c r="B5" s="65" t="s">
        <v>55</v>
      </c>
      <c r="C5" s="65"/>
      <c r="D5" s="65"/>
      <c r="E5" s="12" t="s">
        <v>536</v>
      </c>
      <c r="F5" s="12" t="s">
        <v>536</v>
      </c>
      <c r="G5" s="12" t="s">
        <v>536</v>
      </c>
      <c r="H5" s="12" t="s">
        <v>536</v>
      </c>
      <c r="I5" s="12" t="s">
        <v>536</v>
      </c>
      <c r="J5" s="12" t="s">
        <v>536</v>
      </c>
      <c r="K5" s="12" t="s">
        <v>536</v>
      </c>
      <c r="L5" s="12" t="s">
        <v>536</v>
      </c>
      <c r="M5" s="12" t="s">
        <v>536</v>
      </c>
    </row>
    <row r="6" spans="1:13" x14ac:dyDescent="0.3">
      <c r="A6" s="65" t="s">
        <v>48</v>
      </c>
      <c r="B6" s="65" t="s">
        <v>55</v>
      </c>
      <c r="C6" s="65"/>
      <c r="D6" s="65"/>
      <c r="E6" s="64" t="s">
        <v>9</v>
      </c>
      <c r="F6" s="64" t="s">
        <v>9</v>
      </c>
      <c r="G6" s="64" t="s">
        <v>9</v>
      </c>
      <c r="H6" s="64" t="s">
        <v>9</v>
      </c>
      <c r="I6" s="64" t="s">
        <v>9</v>
      </c>
      <c r="J6" s="64" t="s">
        <v>9</v>
      </c>
      <c r="K6" s="64" t="s">
        <v>9</v>
      </c>
      <c r="L6" s="64" t="s">
        <v>9</v>
      </c>
      <c r="M6" s="64" t="s">
        <v>9</v>
      </c>
    </row>
    <row r="7" spans="1:13" ht="31.8" thickBot="1" x14ac:dyDescent="0.35">
      <c r="A7" s="65" t="s">
        <v>47</v>
      </c>
      <c r="B7" s="65" t="s">
        <v>60</v>
      </c>
      <c r="C7" s="65"/>
      <c r="D7" s="65"/>
      <c r="E7" s="12">
        <f>0.03*2</f>
        <v>0.06</v>
      </c>
      <c r="F7" s="12">
        <f>0.03*2</f>
        <v>0.06</v>
      </c>
      <c r="G7" s="12">
        <f>0.06*2</f>
        <v>0.12</v>
      </c>
      <c r="H7" s="12">
        <f>0.1*2</f>
        <v>0.2</v>
      </c>
      <c r="I7" s="12">
        <f>0.17*2</f>
        <v>0.34</v>
      </c>
      <c r="J7" s="12">
        <f>0.19*2</f>
        <v>0.38</v>
      </c>
      <c r="K7" s="12">
        <f>0.19*2</f>
        <v>0.38</v>
      </c>
      <c r="L7" s="12">
        <f>0.19*4</f>
        <v>0.76</v>
      </c>
      <c r="M7" s="12">
        <f>0.19*4</f>
        <v>0.76</v>
      </c>
    </row>
    <row r="8" spans="1:13" x14ac:dyDescent="0.3">
      <c r="A8" s="65" t="s">
        <v>647</v>
      </c>
      <c r="B8" s="65" t="s">
        <v>55</v>
      </c>
      <c r="C8" s="65"/>
      <c r="D8" s="65"/>
      <c r="E8" s="15" t="s">
        <v>648</v>
      </c>
      <c r="F8" s="15" t="s">
        <v>648</v>
      </c>
      <c r="G8" s="15" t="s">
        <v>649</v>
      </c>
      <c r="H8" s="15" t="s">
        <v>650</v>
      </c>
      <c r="I8" s="15" t="s">
        <v>650</v>
      </c>
      <c r="J8" s="15" t="s">
        <v>651</v>
      </c>
      <c r="K8" s="15" t="s">
        <v>651</v>
      </c>
      <c r="L8" s="15" t="s">
        <v>652</v>
      </c>
      <c r="M8" s="15" t="s">
        <v>652</v>
      </c>
    </row>
    <row r="9" spans="1:13" x14ac:dyDescent="0.3">
      <c r="A9" s="66" t="s">
        <v>552</v>
      </c>
      <c r="B9" s="65" t="s">
        <v>60</v>
      </c>
      <c r="C9" s="66"/>
      <c r="D9" s="66"/>
      <c r="E9" s="49">
        <v>50000</v>
      </c>
      <c r="F9" s="49">
        <v>60000</v>
      </c>
      <c r="G9" s="49">
        <v>70000</v>
      </c>
      <c r="H9" s="49">
        <v>80000</v>
      </c>
      <c r="I9" s="49">
        <v>50000</v>
      </c>
      <c r="J9" s="49">
        <v>50000</v>
      </c>
      <c r="K9" s="49">
        <v>50000</v>
      </c>
      <c r="L9" s="49">
        <v>50000</v>
      </c>
      <c r="M9" s="49">
        <v>50000</v>
      </c>
    </row>
    <row r="10" spans="1:13" x14ac:dyDescent="0.3">
      <c r="A10" s="24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indoor_units</vt:lpstr>
      <vt:lpstr>controller&amp;pipe</vt:lpstr>
      <vt:lpstr>outdoor_units</vt:lpstr>
      <vt:lpstr>indoor_units_SA only</vt:lpstr>
      <vt:lpstr>outdoor_units_SA only</vt:lpstr>
      <vt:lpstr>HRV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2026-10-11T16:01:05Z</dcterms:modified>
</cp:coreProperties>
</file>