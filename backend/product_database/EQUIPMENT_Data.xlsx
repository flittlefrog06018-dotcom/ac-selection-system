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itt\.gemini\antigravity\scratch\ac-selection-system\backend\product_database\"/>
    </mc:Choice>
  </mc:AlternateContent>
  <xr:revisionPtr revIDLastSave="0" documentId="13_ncr:1_{563775CE-1ECE-40EA-999D-9C9764F8B12F}" xr6:coauthVersionLast="47" xr6:coauthVersionMax="47" xr10:uidLastSave="{00000000-0000-0000-0000-000000000000}"/>
  <bookViews>
    <workbookView xWindow="2028" yWindow="2088" windowWidth="17640" windowHeight="9444" firstSheet="3" activeTab="5" xr2:uid="{B9AE4098-F0A1-4C76-B9D5-37F1BE2208A4}"/>
  </bookViews>
  <sheets>
    <sheet name="indoor_units" sheetId="1" r:id="rId1"/>
    <sheet name="controller&amp;pipe" sheetId="5" r:id="rId2"/>
    <sheet name="outdoor_units" sheetId="2" r:id="rId3"/>
    <sheet name="indoor_units_SA only" sheetId="3" r:id="rId4"/>
    <sheet name="outdoor_units_SA only" sheetId="4" r:id="rId5"/>
    <sheet name="HRV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7" l="1"/>
  <c r="L7" i="7"/>
  <c r="K7" i="7"/>
  <c r="J7" i="7"/>
  <c r="I7" i="7"/>
  <c r="H7" i="7"/>
  <c r="G7" i="7"/>
  <c r="F7" i="7"/>
  <c r="E7" i="7"/>
  <c r="C20" i="5"/>
  <c r="M17" i="3" l="1"/>
  <c r="M15" i="4"/>
  <c r="L17" i="3"/>
  <c r="L15" i="4"/>
  <c r="K17" i="3"/>
  <c r="K15" i="4"/>
  <c r="J17" i="3"/>
  <c r="J15" i="4"/>
  <c r="I17" i="3"/>
  <c r="I15" i="4"/>
  <c r="G17" i="3"/>
  <c r="G15" i="4"/>
  <c r="S17" i="3"/>
  <c r="S15" i="4"/>
  <c r="R17" i="3"/>
  <c r="R15" i="4"/>
  <c r="Q17" i="3"/>
  <c r="Q15" i="4"/>
  <c r="P17" i="3"/>
  <c r="P15" i="4"/>
  <c r="O17" i="3"/>
  <c r="O15" i="4"/>
  <c r="N17" i="3"/>
  <c r="N15" i="4"/>
  <c r="Y17" i="3"/>
  <c r="Y15" i="4"/>
  <c r="X15" i="4"/>
  <c r="X17" i="3"/>
  <c r="W15" i="4"/>
  <c r="W17" i="3"/>
  <c r="V17" i="3"/>
  <c r="V15" i="4"/>
  <c r="U17" i="3"/>
  <c r="U15" i="4"/>
  <c r="T15" i="4"/>
  <c r="T17" i="3"/>
  <c r="AE17" i="3"/>
  <c r="AE15" i="4"/>
  <c r="AC17" i="3"/>
  <c r="AC15" i="4"/>
  <c r="AB17" i="3"/>
  <c r="AB15" i="4"/>
  <c r="AA15" i="4"/>
  <c r="AA17" i="3"/>
  <c r="Z15" i="4"/>
  <c r="Z17" i="3"/>
  <c r="F17" i="3"/>
  <c r="E17" i="3"/>
  <c r="F15" i="4"/>
  <c r="E15" i="4"/>
  <c r="M17" i="1"/>
  <c r="L17" i="1"/>
  <c r="K17" i="1"/>
  <c r="J17" i="1"/>
  <c r="I17" i="1"/>
  <c r="H17" i="1"/>
  <c r="G17" i="1"/>
  <c r="F17" i="1"/>
  <c r="E17" i="1"/>
  <c r="AC15" i="2"/>
  <c r="AB15" i="2"/>
  <c r="AA15" i="2"/>
  <c r="Z15" i="2"/>
  <c r="Y15" i="2"/>
  <c r="X15" i="2"/>
  <c r="W15" i="2"/>
  <c r="V15" i="2"/>
  <c r="U15" i="2"/>
  <c r="AQ15" i="2"/>
  <c r="AP15" i="2"/>
  <c r="AO15" i="2"/>
  <c r="AN15" i="2"/>
  <c r="AM15" i="2"/>
  <c r="AL15" i="2"/>
  <c r="AK15" i="2"/>
  <c r="AJ17" i="1"/>
  <c r="AI17" i="1"/>
  <c r="AH17" i="1"/>
  <c r="AG17" i="1"/>
  <c r="AF17" i="1"/>
  <c r="AE17" i="1"/>
  <c r="AD17" i="1"/>
  <c r="AX17" i="1"/>
  <c r="AW17" i="1"/>
  <c r="AV17" i="1"/>
  <c r="AU17" i="1"/>
  <c r="AT17" i="1"/>
  <c r="AS17" i="1"/>
  <c r="AR17" i="1"/>
  <c r="BE15" i="2"/>
  <c r="BD15" i="2"/>
  <c r="BC15" i="2"/>
  <c r="BB15" i="2"/>
  <c r="BA15" i="2"/>
  <c r="AZ15" i="2"/>
  <c r="AY15" i="2"/>
</calcChain>
</file>

<file path=xl/sharedStrings.xml><?xml version="1.0" encoding="utf-8"?>
<sst xmlns="http://schemas.openxmlformats.org/spreadsheetml/2006/main" count="3863" uniqueCount="653">
  <si>
    <t>資料型態</t>
  </si>
  <si>
    <t>填寫範例</t>
  </si>
  <si>
    <t>說明 / 未來 Python 應用</t>
  </si>
  <si>
    <t>文字</t>
  </si>
  <si>
    <t>區分 RA 的不同系列（如橫綱、大關）或商用系列。</t>
  </si>
  <si>
    <t>FXSQ80PAVT</t>
  </si>
  <si>
    <t>數字</t>
  </si>
  <si>
    <t>文字/數字</t>
  </si>
  <si>
    <t>標稱能力。</t>
  </si>
  <si>
    <t>1φ, 220V, 60Hz</t>
  </si>
  <si>
    <t>電源（相數 $\phi$, 電壓 V, 頻率 Hz）。</t>
  </si>
  <si>
    <t>耗電量（kW）。</t>
  </si>
  <si>
    <t>电流（A）。</t>
  </si>
  <si>
    <t>245x1000x800</t>
  </si>
  <si>
    <t>尺寸 mm (H×W×D)。</t>
  </si>
  <si>
    <t>欄位名稱 
(Excel 第一行)</t>
    <phoneticPr fontId="1" type="noConversion"/>
  </si>
  <si>
    <r>
      <t>VRV</t>
    </r>
    <r>
      <rPr>
        <sz val="12"/>
        <color rgb="FF1F1F1F"/>
        <rFont val="微軟正黑體"/>
        <family val="2"/>
        <charset val="136"/>
      </rPr>
      <t xml:space="preserve"> / </t>
    </r>
    <r>
      <rPr>
        <sz val="9"/>
        <color rgb="FF1F1F1F"/>
        <rFont val="微軟正黑體"/>
        <family val="2"/>
        <charset val="136"/>
      </rPr>
      <t>SA</t>
    </r>
    <r>
      <rPr>
        <sz val="12"/>
        <color rgb="FF1F1F1F"/>
        <rFont val="微軟正黑體"/>
        <family val="2"/>
        <charset val="136"/>
      </rPr>
      <t xml:space="preserve"> / </t>
    </r>
    <r>
      <rPr>
        <sz val="9"/>
        <color rgb="FF1F1F1F"/>
        <rFont val="微軟正黑體"/>
        <family val="2"/>
        <charset val="136"/>
      </rPr>
      <t>RA</t>
    </r>
  </si>
  <si>
    <r>
      <t>（必填）</t>
    </r>
    <r>
      <rPr>
        <sz val="12"/>
        <color rgb="FF1F1F1F"/>
        <rFont val="微軟正黑體"/>
        <family val="2"/>
        <charset val="136"/>
      </rPr>
      <t xml:space="preserve"> 區分系統，對應現有程式的判定。</t>
    </r>
  </si>
  <si>
    <r>
      <t>橫綱V系列</t>
    </r>
    <r>
      <rPr>
        <sz val="12"/>
        <color rgb="FF1F1F1F"/>
        <rFont val="微軟正黑體"/>
        <family val="2"/>
        <charset val="136"/>
      </rPr>
      <t xml:space="preserve"> / </t>
    </r>
    <r>
      <rPr>
        <sz val="9"/>
        <color rgb="FF1F1F1F"/>
        <rFont val="微軟正黑體"/>
        <family val="2"/>
        <charset val="136"/>
      </rPr>
      <t>FXSQ</t>
    </r>
  </si>
  <si>
    <r>
      <t>（必填）主鍵</t>
    </r>
    <r>
      <rPr>
        <sz val="12"/>
        <color rgb="FF1F1F1F"/>
        <rFont val="微軟正黑體"/>
        <family val="2"/>
        <charset val="136"/>
      </rPr>
      <t>，不可重複。</t>
    </r>
  </si>
  <si>
    <r>
      <t>（必填）</t>
    </r>
    <r>
      <rPr>
        <sz val="12"/>
        <color rgb="FF1F1F1F"/>
        <rFont val="微軟正黑體"/>
        <family val="2"/>
        <charset val="136"/>
      </rPr>
      <t xml:space="preserve"> 程式計算的核心冷房能力（kW）。</t>
    </r>
  </si>
  <si>
    <r>
      <t>80</t>
    </r>
    <r>
      <rPr>
        <sz val="12"/>
        <color rgb="FF1F1F1F"/>
        <rFont val="微軟正黑體"/>
        <family val="2"/>
        <charset val="136"/>
      </rPr>
      <t xml:space="preserve"> 或 </t>
    </r>
    <r>
      <rPr>
        <sz val="9"/>
        <color rgb="FF1F1F1F"/>
        <rFont val="微軟正黑體"/>
        <family val="2"/>
        <charset val="136"/>
      </rPr>
      <t>2.5馬力</t>
    </r>
  </si>
  <si>
    <r>
      <t xml:space="preserve">最高靜壓（Pa），隱埋機型專屬，沒靜壓的填 </t>
    </r>
    <r>
      <rPr>
        <sz val="9"/>
        <color rgb="FF1F1F1F"/>
        <rFont val="微軟正黑體"/>
        <family val="2"/>
        <charset val="136"/>
      </rPr>
      <t>0</t>
    </r>
    <r>
      <rPr>
        <sz val="12"/>
        <color rgb="FF1F1F1F"/>
        <rFont val="微軟正黑體"/>
        <family val="2"/>
        <charset val="136"/>
      </rPr>
      <t xml:space="preserve"> 或空著。</t>
    </r>
  </si>
  <si>
    <t>VRV</t>
  </si>
  <si>
    <t>區分不同等級或世代的室外機系列。</t>
  </si>
  <si>
    <t>圖面的「標稱能力」，用於傳統稱呼或型號對照。</t>
  </si>
  <si>
    <t>圖面的「耗電量(kW)」，計算總用電與節能指標。</t>
  </si>
  <si>
    <t>圖面的「電源 ($\phi$-W-V-Hz)」，照實填寫即可。</t>
  </si>
  <si>
    <t>圖面的「保險絲最大電流(A)」，供開關選配與配線參考。</t>
  </si>
  <si>
    <t>1657x930x765</t>
  </si>
  <si>
    <t>圖面的「尺寸mm (H×W×D)」，用於機械空間與基座規劃。</t>
  </si>
  <si>
    <r>
      <t>（核心）</t>
    </r>
    <r>
      <rPr>
        <sz val="12"/>
        <color rgb="FF1F1F1F"/>
        <rFont val="微軟正黑體"/>
        <family val="2"/>
        <charset val="136"/>
      </rPr>
      <t xml:space="preserve"> 區分系統（RA/SA/VRV），與內機進行系統過濾。</t>
    </r>
  </si>
  <si>
    <r>
      <t>（必填）主鍵</t>
    </r>
    <r>
      <rPr>
        <sz val="12"/>
        <color rgb="FF1F1F1F"/>
        <rFont val="微軟正黑體"/>
        <family val="2"/>
        <charset val="136"/>
      </rPr>
      <t>，獨一無二的室外機型號。</t>
    </r>
  </si>
  <si>
    <r>
      <t>（必填）</t>
    </r>
    <r>
      <rPr>
        <sz val="12"/>
        <color rgb="FF1F1F1F"/>
        <rFont val="微軟正黑體"/>
        <family val="2"/>
        <charset val="136"/>
      </rPr>
      <t xml:space="preserve"> 室外機總冷房能力（kW），計算連結率的核心。</t>
    </r>
  </si>
  <si>
    <t>RA</t>
    <phoneticPr fontId="1" type="noConversion"/>
  </si>
  <si>
    <t>橫綱Z系列</t>
    <phoneticPr fontId="1" type="noConversion"/>
  </si>
  <si>
    <t>風管型 /壁掛型/嵌入型</t>
    <phoneticPr fontId="1" type="noConversion"/>
  </si>
  <si>
    <t>-</t>
    <phoneticPr fontId="1" type="noConversion"/>
  </si>
  <si>
    <t>299×838×275</t>
    <phoneticPr fontId="1" type="noConversion"/>
  </si>
  <si>
    <t>RXM22ZVLT</t>
    <phoneticPr fontId="1" type="noConversion"/>
  </si>
  <si>
    <t>550×675×284</t>
    <phoneticPr fontId="1" type="noConversion"/>
  </si>
  <si>
    <t>系統</t>
    <phoneticPr fontId="1" type="noConversion"/>
  </si>
  <si>
    <t>VRV H系列</t>
    <phoneticPr fontId="1" type="noConversion"/>
  </si>
  <si>
    <t>RXYQ10AYLT</t>
    <phoneticPr fontId="1" type="noConversion"/>
  </si>
  <si>
    <t>系列別</t>
    <phoneticPr fontId="1" type="noConversion"/>
  </si>
  <si>
    <t>能力指數</t>
    <phoneticPr fontId="1" type="noConversion"/>
  </si>
  <si>
    <t>冷房能力(kW)</t>
    <phoneticPr fontId="1" type="noConversion"/>
  </si>
  <si>
    <t>額定耗電量(kW)</t>
    <phoneticPr fontId="1" type="noConversion"/>
  </si>
  <si>
    <t>供應電源</t>
    <phoneticPr fontId="1" type="noConversion"/>
  </si>
  <si>
    <t>最大保險絲電流(MFA) (A)</t>
    <phoneticPr fontId="1" type="noConversion"/>
  </si>
  <si>
    <t>最大電流值(MCA) (A)</t>
    <phoneticPr fontId="1" type="noConversion"/>
  </si>
  <si>
    <t>尺寸(高x寬x深) (mm)</t>
    <phoneticPr fontId="1" type="noConversion"/>
  </si>
  <si>
    <t>室外機型號</t>
    <phoneticPr fontId="1" type="noConversion"/>
  </si>
  <si>
    <t>室內機型號</t>
    <phoneticPr fontId="1" type="noConversion"/>
  </si>
  <si>
    <t>室外機型式</t>
    <phoneticPr fontId="1" type="noConversion"/>
  </si>
  <si>
    <t>文字</t>
    <phoneticPr fontId="1" type="noConversion"/>
  </si>
  <si>
    <t>側吹單風扇</t>
    <phoneticPr fontId="1" type="noConversion"/>
  </si>
  <si>
    <t>上吹單風扇</t>
    <phoneticPr fontId="1" type="noConversion"/>
  </si>
  <si>
    <t>機外靜壓</t>
    <phoneticPr fontId="1" type="noConversion"/>
  </si>
  <si>
    <t>額定電流</t>
    <phoneticPr fontId="1" type="noConversion"/>
  </si>
  <si>
    <t>數字</t>
    <phoneticPr fontId="1" type="noConversion"/>
  </si>
  <si>
    <t>室內機型式</t>
    <phoneticPr fontId="1" type="noConversion"/>
  </si>
  <si>
    <t>11.5</t>
  </si>
  <si>
    <t>15</t>
  </si>
  <si>
    <t>RXM28ZVLT</t>
    <phoneticPr fontId="1" type="noConversion"/>
  </si>
  <si>
    <t>RXM41ZVLT</t>
    <phoneticPr fontId="1" type="noConversion"/>
  </si>
  <si>
    <t>RXM50ZVLT</t>
    <phoneticPr fontId="1" type="noConversion"/>
  </si>
  <si>
    <t>RXM60ZVLT</t>
    <phoneticPr fontId="1" type="noConversion"/>
  </si>
  <si>
    <t>RXM71ZVLT</t>
    <phoneticPr fontId="1" type="noConversion"/>
  </si>
  <si>
    <t>RXM80ZVLT</t>
    <phoneticPr fontId="1" type="noConversion"/>
  </si>
  <si>
    <t>RXM90ZVLT</t>
    <phoneticPr fontId="1" type="noConversion"/>
  </si>
  <si>
    <t>595×845×300</t>
    <phoneticPr fontId="1" type="noConversion"/>
  </si>
  <si>
    <t>695×930×350</t>
    <phoneticPr fontId="1" type="noConversion"/>
  </si>
  <si>
    <t>595×930×350</t>
    <phoneticPr fontId="1" type="noConversion"/>
  </si>
  <si>
    <t>990×940×320</t>
    <phoneticPr fontId="1" type="noConversion"/>
  </si>
  <si>
    <t>橫綱Y系列</t>
    <phoneticPr fontId="1" type="noConversion"/>
  </si>
  <si>
    <t>7.3</t>
  </si>
  <si>
    <t>大關Z系列</t>
    <phoneticPr fontId="1" type="noConversion"/>
  </si>
  <si>
    <t>豪菁Z系列</t>
    <phoneticPr fontId="1" type="noConversion"/>
  </si>
  <si>
    <t>RHF20ZVLT</t>
    <phoneticPr fontId="1" type="noConversion"/>
  </si>
  <si>
    <t>RHF25ZVLT</t>
    <phoneticPr fontId="1" type="noConversion"/>
  </si>
  <si>
    <t>RHF30ZVLT</t>
    <phoneticPr fontId="1" type="noConversion"/>
  </si>
  <si>
    <t>RXM22YVLT</t>
    <phoneticPr fontId="1" type="noConversion"/>
  </si>
  <si>
    <t>RXM28YVLT</t>
    <phoneticPr fontId="1" type="noConversion"/>
  </si>
  <si>
    <t>RXM41YVLT</t>
    <phoneticPr fontId="1" type="noConversion"/>
  </si>
  <si>
    <t>RXM50YVLT</t>
    <phoneticPr fontId="1" type="noConversion"/>
  </si>
  <si>
    <t>RXM60YVLT</t>
    <phoneticPr fontId="1" type="noConversion"/>
  </si>
  <si>
    <t>RXM71YVLT</t>
    <phoneticPr fontId="1" type="noConversion"/>
  </si>
  <si>
    <t>RXV22ZVLT</t>
    <phoneticPr fontId="1" type="noConversion"/>
  </si>
  <si>
    <t>RXV28ZVLT</t>
    <phoneticPr fontId="1" type="noConversion"/>
  </si>
  <si>
    <t>RXV36ZVLT</t>
    <phoneticPr fontId="1" type="noConversion"/>
  </si>
  <si>
    <t>RXV41ZVLT</t>
    <phoneticPr fontId="1" type="noConversion"/>
  </si>
  <si>
    <t>RXV50ZVLT</t>
    <phoneticPr fontId="1" type="noConversion"/>
  </si>
  <si>
    <t>RXV60ZVLT</t>
    <phoneticPr fontId="1" type="noConversion"/>
  </si>
  <si>
    <t>RXV71ZVLT</t>
    <phoneticPr fontId="1" type="noConversion"/>
  </si>
  <si>
    <t>RHF50ZVLT</t>
    <phoneticPr fontId="1" type="noConversion"/>
  </si>
  <si>
    <t>RHF60ZVLT</t>
    <phoneticPr fontId="1" type="noConversion"/>
  </si>
  <si>
    <t>RHF71ZVLT</t>
    <phoneticPr fontId="1" type="noConversion"/>
  </si>
  <si>
    <t>RXM36ZVLT</t>
    <phoneticPr fontId="1" type="noConversion"/>
  </si>
  <si>
    <t>RXM36YVLT</t>
    <phoneticPr fontId="1" type="noConversion"/>
  </si>
  <si>
    <t>RHF40ZVLT</t>
    <phoneticPr fontId="1" type="noConversion"/>
  </si>
  <si>
    <t>SA</t>
    <phoneticPr fontId="1" type="noConversion"/>
  </si>
  <si>
    <t>商用冷專系列</t>
    <phoneticPr fontId="1" type="noConversion"/>
  </si>
  <si>
    <t>RKF71XVLT</t>
    <phoneticPr fontId="1" type="noConversion"/>
  </si>
  <si>
    <t>RKF100XVLT</t>
    <phoneticPr fontId="1" type="noConversion"/>
  </si>
  <si>
    <t>2MXM56YVLT</t>
    <phoneticPr fontId="1" type="noConversion"/>
  </si>
  <si>
    <t>2MXM75YVLT</t>
    <phoneticPr fontId="1" type="noConversion"/>
  </si>
  <si>
    <t>3MXM90YVLT</t>
    <phoneticPr fontId="1" type="noConversion"/>
  </si>
  <si>
    <t>4MXM110YVLT</t>
    <phoneticPr fontId="1" type="noConversion"/>
  </si>
  <si>
    <t>2MXP50ZVLT</t>
    <phoneticPr fontId="1" type="noConversion"/>
  </si>
  <si>
    <t>商用冷暖系列</t>
    <phoneticPr fontId="1" type="noConversion"/>
  </si>
  <si>
    <t>RZF71DVLT</t>
    <phoneticPr fontId="1" type="noConversion"/>
  </si>
  <si>
    <t>3φ, 220V, 60Hz</t>
    <phoneticPr fontId="1" type="noConversion"/>
  </si>
  <si>
    <t>RZF71CVLT</t>
    <phoneticPr fontId="1" type="noConversion"/>
  </si>
  <si>
    <t>RZF100CVLT</t>
    <phoneticPr fontId="1" type="noConversion"/>
  </si>
  <si>
    <t>RZF125CVLT</t>
    <phoneticPr fontId="1" type="noConversion"/>
  </si>
  <si>
    <t>RZF140CVLT</t>
    <phoneticPr fontId="1" type="noConversion"/>
  </si>
  <si>
    <t>RZF140DTLT</t>
    <phoneticPr fontId="1" type="noConversion"/>
  </si>
  <si>
    <t>RZF140CYLT</t>
    <phoneticPr fontId="1" type="noConversion"/>
  </si>
  <si>
    <t>RZAC71EVLT</t>
    <phoneticPr fontId="1" type="noConversion"/>
  </si>
  <si>
    <t>RZAC100DVLT</t>
    <phoneticPr fontId="1" type="noConversion"/>
  </si>
  <si>
    <t>RZAC125DVLT</t>
    <phoneticPr fontId="1" type="noConversion"/>
  </si>
  <si>
    <t>RZAC140DVLT</t>
    <phoneticPr fontId="1" type="noConversion"/>
  </si>
  <si>
    <t>608×845×300</t>
    <phoneticPr fontId="1" type="noConversion"/>
  </si>
  <si>
    <t>RZAC140ETLT</t>
    <phoneticPr fontId="1" type="noConversion"/>
  </si>
  <si>
    <t>870×1100×460</t>
  </si>
  <si>
    <t>RZAC140DYLT</t>
    <phoneticPr fontId="1" type="noConversion"/>
  </si>
  <si>
    <t>1φ, 220V, 60Hz</t>
    <phoneticPr fontId="1" type="noConversion"/>
  </si>
  <si>
    <t>VRVl高效率S系列</t>
    <phoneticPr fontId="1" type="noConversion"/>
  </si>
  <si>
    <t>RSUYQ112AVT</t>
    <phoneticPr fontId="1" type="noConversion"/>
  </si>
  <si>
    <t>VRV高效率S系列</t>
    <phoneticPr fontId="1" type="noConversion"/>
  </si>
  <si>
    <t>VRV IV-S系列</t>
    <phoneticPr fontId="1" type="noConversion"/>
  </si>
  <si>
    <t>VRV III-S系列</t>
    <phoneticPr fontId="1" type="noConversion"/>
  </si>
  <si>
    <t>VRV</t>
    <phoneticPr fontId="1" type="noConversion"/>
  </si>
  <si>
    <t>RSUYQ125AVT</t>
    <phoneticPr fontId="1" type="noConversion"/>
  </si>
  <si>
    <t>RSUYQ140AVT</t>
    <phoneticPr fontId="1" type="noConversion"/>
  </si>
  <si>
    <t>RSUYQ160AVT</t>
    <phoneticPr fontId="1" type="noConversion"/>
  </si>
  <si>
    <t>RXYMQ10ARYLT</t>
    <phoneticPr fontId="1" type="noConversion"/>
  </si>
  <si>
    <t>RXYMQ12ARYLT</t>
    <phoneticPr fontId="1" type="noConversion"/>
  </si>
  <si>
    <t>RXYMQ8TTLT</t>
    <phoneticPr fontId="1" type="noConversion"/>
  </si>
  <si>
    <t>RXYMQ10TTLT</t>
    <phoneticPr fontId="1" type="noConversion"/>
  </si>
  <si>
    <t>RXYMQ8TYLT</t>
    <phoneticPr fontId="1" type="noConversion"/>
  </si>
  <si>
    <t>RXYMQ10TYLT</t>
    <phoneticPr fontId="1" type="noConversion"/>
  </si>
  <si>
    <t>1627×940×460</t>
  </si>
  <si>
    <t>1430×940×320</t>
  </si>
  <si>
    <t>側吹雙風扇</t>
    <phoneticPr fontId="1" type="noConversion"/>
  </si>
  <si>
    <t>VRVmini+系列</t>
    <phoneticPr fontId="1" type="noConversion"/>
  </si>
  <si>
    <t>RXYCQ4BVLT</t>
    <phoneticPr fontId="1" type="noConversion"/>
  </si>
  <si>
    <t>RXYCQ5BVLT</t>
    <phoneticPr fontId="1" type="noConversion"/>
  </si>
  <si>
    <t>RXYCQ6BVLT</t>
    <phoneticPr fontId="1" type="noConversion"/>
  </si>
  <si>
    <t>RXQ8AYLT</t>
  </si>
  <si>
    <t>RXQ10AYLT</t>
  </si>
  <si>
    <t>RXQ12AYLT</t>
  </si>
  <si>
    <t>RXQ14AYLT</t>
  </si>
  <si>
    <t>RXQ16AYLT</t>
  </si>
  <si>
    <t>RXQ18AYLT</t>
  </si>
  <si>
    <t>RXQ20AYLT</t>
  </si>
  <si>
    <t>RXQ22ANYLT</t>
  </si>
  <si>
    <t>RXQ24ANYLT</t>
  </si>
  <si>
    <t>RXQ26ANYLT</t>
  </si>
  <si>
    <t>RXQ28ANYLT</t>
  </si>
  <si>
    <t>RXQ30ANYLT</t>
  </si>
  <si>
    <t>RXQ32AN1YLT</t>
  </si>
  <si>
    <t>RXQ34ANYLT</t>
  </si>
  <si>
    <t>RXQ36AN1YLT</t>
  </si>
  <si>
    <t>RXQ38ANYLT</t>
  </si>
  <si>
    <t>RXQ40AN1YLT</t>
  </si>
  <si>
    <t>RXQ42ANYLT</t>
  </si>
  <si>
    <t>RXQ44ANYLT</t>
  </si>
  <si>
    <t>RXQ46ANYLT</t>
  </si>
  <si>
    <t>RXQ48AN1YLT</t>
  </si>
  <si>
    <t>RXQ50ANYLT</t>
  </si>
  <si>
    <t>RXQ52AN1YLT</t>
  </si>
  <si>
    <t>RXQ54ANYLT</t>
  </si>
  <si>
    <t>RXQ56AN1YLT</t>
  </si>
  <si>
    <t>RXQ58ANYLT</t>
  </si>
  <si>
    <t>RXQ60ANYLT</t>
  </si>
  <si>
    <t>1657×930×765</t>
  </si>
  <si>
    <t>1657×1240×765</t>
  </si>
  <si>
    <t>(1657×930×765)+(1657×930×765)</t>
  </si>
  <si>
    <t>(1657×930×765)+(1657×1240×765)</t>
  </si>
  <si>
    <t>(1657*1240*765)+(1657*1240*765)</t>
  </si>
  <si>
    <t>(1657*1240*765)+(1657*1240*766)</t>
  </si>
  <si>
    <t>(1657*1240*765)+(1657*1240*767)</t>
  </si>
  <si>
    <t>(1657*1240*765)+(1657*1240*768)</t>
  </si>
  <si>
    <t>(1657*1240*765)+(1657*1240*769)</t>
  </si>
  <si>
    <t>(1657*1240*765)+(1657*1240*770)</t>
  </si>
  <si>
    <t>(1657×930×765)+(1657×930×765)+(1657×1240×765)</t>
  </si>
  <si>
    <t>(1657×930×765)+(1657×930×765)+(1657×1240×766)</t>
  </si>
  <si>
    <t>(1657×1240×765)+(1657×1240×765)+(1657×1240×765)</t>
  </si>
  <si>
    <t>VRV A系列</t>
    <phoneticPr fontId="1" type="noConversion"/>
  </si>
  <si>
    <t>RXYQ8AYLT</t>
  </si>
  <si>
    <t>RXYQ10AYLT</t>
  </si>
  <si>
    <t>RXYQ12AYLT</t>
  </si>
  <si>
    <t>RXYQ14AYLT</t>
  </si>
  <si>
    <t>RXYQ16AYLT</t>
  </si>
  <si>
    <t>RXYQ18AYLT</t>
  </si>
  <si>
    <t>RXYQ20AYLT</t>
  </si>
  <si>
    <t>RXYQ22ANYLT</t>
  </si>
  <si>
    <t>RXYQ24ANYLT</t>
  </si>
  <si>
    <t>RXYQ26ANYLT</t>
  </si>
  <si>
    <t>RXYQ28ANYLT</t>
  </si>
  <si>
    <t>RXYQ30ANYLT</t>
  </si>
  <si>
    <t>RXYQ32ANYLT</t>
  </si>
  <si>
    <t>RXYQ34ANYLT</t>
  </si>
  <si>
    <t>RXYQ36ANYLT</t>
  </si>
  <si>
    <t>RXYQ38ANYLT</t>
  </si>
  <si>
    <t>RXYQ40ANYLT</t>
  </si>
  <si>
    <t>RXYQ42ANYLT</t>
  </si>
  <si>
    <t>RXYQ44ANYLT</t>
  </si>
  <si>
    <t>RXYQ46ANYLT</t>
  </si>
  <si>
    <t>RXYQ48ANYLT</t>
  </si>
  <si>
    <t>RXYQ50ANYLT</t>
  </si>
  <si>
    <t>RXYQ52ANYLT</t>
  </si>
  <si>
    <t>RXYQ54ANYLT</t>
  </si>
  <si>
    <t>RXYQ56ANYLT</t>
  </si>
  <si>
    <t>RXYQ58ANYLT</t>
  </si>
  <si>
    <t>RXYQ60ANYLT</t>
  </si>
  <si>
    <t>RA</t>
    <phoneticPr fontId="6" type="noConversion"/>
  </si>
  <si>
    <t>SA</t>
    <phoneticPr fontId="6" type="noConversion"/>
  </si>
  <si>
    <t>VRV</t>
    <phoneticPr fontId="6" type="noConversion"/>
  </si>
  <si>
    <t>橫綱Y系列</t>
  </si>
  <si>
    <t>橫綱Z系列</t>
  </si>
  <si>
    <t>大關U系列</t>
  </si>
  <si>
    <t>大關Z系列</t>
  </si>
  <si>
    <t>經典VA系列</t>
  </si>
  <si>
    <t>豪菁Z系列</t>
  </si>
  <si>
    <t>隱藏風管系列</t>
  </si>
  <si>
    <t>單點式空調</t>
  </si>
  <si>
    <t>壁掛式</t>
  </si>
  <si>
    <t>天吊式</t>
  </si>
  <si>
    <t>落地箱型機</t>
  </si>
  <si>
    <t>家用系列(小型多方吹)</t>
  </si>
  <si>
    <t>家用系列(吊隱式)</t>
  </si>
  <si>
    <t>家用系列(壁掛式)</t>
  </si>
  <si>
    <t>家用系列(歐風壁掛式)</t>
  </si>
  <si>
    <t>FTXV22XVLT</t>
    <phoneticPr fontId="6" type="noConversion"/>
  </si>
  <si>
    <t>FTXV28XVLT</t>
    <phoneticPr fontId="6" type="noConversion"/>
  </si>
  <si>
    <t>FTXV36XVLT</t>
    <phoneticPr fontId="6" type="noConversion"/>
  </si>
  <si>
    <t>FTXV41XVLT</t>
    <phoneticPr fontId="6" type="noConversion"/>
  </si>
  <si>
    <t>FTXV50XVLT</t>
    <phoneticPr fontId="6" type="noConversion"/>
  </si>
  <si>
    <t>FTXV60XVLT</t>
    <phoneticPr fontId="6" type="noConversion"/>
  </si>
  <si>
    <t>FTXV71XVLT</t>
    <phoneticPr fontId="6" type="noConversion"/>
  </si>
  <si>
    <t>FTXV80XVLT</t>
    <phoneticPr fontId="6" type="noConversion"/>
  </si>
  <si>
    <t>FTXV90XVLT</t>
    <phoneticPr fontId="6" type="noConversion"/>
  </si>
  <si>
    <t>FTXM22YVLT</t>
  </si>
  <si>
    <t>FTXM28YVLT</t>
  </si>
  <si>
    <t>FTXM36YVLT</t>
  </si>
  <si>
    <t>FTXM41YVLT</t>
  </si>
  <si>
    <t>FTXM50YVLT</t>
  </si>
  <si>
    <t>FTXM60YVLT</t>
  </si>
  <si>
    <t>FTXM71YVLT</t>
  </si>
  <si>
    <t>FTXM22ZVLT</t>
  </si>
  <si>
    <t>FTXM28ZVLT</t>
  </si>
  <si>
    <t>FTXM36ZVLT</t>
  </si>
  <si>
    <t>FTXM41ZVLT</t>
  </si>
  <si>
    <t>FTXM50ZVLT</t>
  </si>
  <si>
    <t>FTXM60ZVLT</t>
  </si>
  <si>
    <t>FTXM71ZVLT</t>
  </si>
  <si>
    <t>FTXM80ZVLT</t>
  </si>
  <si>
    <t>FTXM90ZVLT</t>
  </si>
  <si>
    <t>FTXV22UVLT</t>
  </si>
  <si>
    <t>FTXV28UVLT</t>
  </si>
  <si>
    <t>FTXV36UVLT</t>
  </si>
  <si>
    <t>FTXV41UVLT</t>
  </si>
  <si>
    <t>FTXV50UVLT</t>
  </si>
  <si>
    <t>FTXV60UVLT</t>
  </si>
  <si>
    <t>FTXV71UVLT</t>
  </si>
  <si>
    <t>FTXV22ZVLT</t>
  </si>
  <si>
    <t>FTXV28ZVLT</t>
  </si>
  <si>
    <t>FTXV36ZVLT</t>
  </si>
  <si>
    <t>FTXV41ZVLT</t>
  </si>
  <si>
    <t>FTXV50ZVLT</t>
  </si>
  <si>
    <t>FTXV60ZVLT</t>
  </si>
  <si>
    <t>FTXV71ZVLT</t>
  </si>
  <si>
    <t>FTHF20VAVLT</t>
  </si>
  <si>
    <t>FTHF25VAVLT</t>
  </si>
  <si>
    <t>FTHF30VAVLT</t>
  </si>
  <si>
    <t>FTHF20ZVLT</t>
  </si>
  <si>
    <t>FTHF25ZVLT</t>
  </si>
  <si>
    <t>FTHF30ZVLT</t>
  </si>
  <si>
    <t>FTHF40ZVLT</t>
  </si>
  <si>
    <t>FTHF50ZVLT</t>
  </si>
  <si>
    <t>FTHF60ZVLT</t>
  </si>
  <si>
    <t>FTHF71ZVLT</t>
  </si>
  <si>
    <t>FDXV22RVLT</t>
  </si>
  <si>
    <t>FDXV28RVLT</t>
  </si>
  <si>
    <t>FDXV36RVLT</t>
  </si>
  <si>
    <t>FDXV41RVLT</t>
  </si>
  <si>
    <t>FDXV50RVLT</t>
  </si>
  <si>
    <t>FDXV60RVLT</t>
  </si>
  <si>
    <t>FDXV71RVLT</t>
  </si>
  <si>
    <t>FTXM80RVLT</t>
  </si>
  <si>
    <t>FTXM90RVLT</t>
  </si>
  <si>
    <t>FAA71XVLT</t>
  </si>
  <si>
    <t>FAA100XVLT</t>
  </si>
  <si>
    <t>FCA71DVLT</t>
  </si>
  <si>
    <t>FCA71CVLT</t>
  </si>
  <si>
    <t>FCA100CVLT</t>
  </si>
  <si>
    <t>FCA125CVLT</t>
  </si>
  <si>
    <t>FCA140CVLT</t>
  </si>
  <si>
    <t>FCA140DVLT</t>
  </si>
  <si>
    <t>FBA71BVLT</t>
  </si>
  <si>
    <t>FBA100BVLT</t>
  </si>
  <si>
    <t>FBA125BVLT</t>
  </si>
  <si>
    <t>FBA140BVLT</t>
  </si>
  <si>
    <t>FXDQ20PDNVT</t>
  </si>
  <si>
    <t>FXDQ25PDNVT</t>
  </si>
  <si>
    <t>FXDQ32PDNVT</t>
  </si>
  <si>
    <t>FXDQ40NDNVT</t>
  </si>
  <si>
    <t>FXDQ50NDNVT</t>
  </si>
  <si>
    <t>FXDQ63NDNVT</t>
  </si>
  <si>
    <t>FXDQ20PDVT</t>
  </si>
  <si>
    <t>FXDQ25PDVT</t>
  </si>
  <si>
    <t>FXDQ32PDVT</t>
  </si>
  <si>
    <t>FXDQ40NDVT</t>
  </si>
  <si>
    <t>FXDQ50NDVT</t>
  </si>
  <si>
    <t>FXDQ63NDVT</t>
  </si>
  <si>
    <t>FXSQ20PAVT</t>
  </si>
  <si>
    <t>FXSQ25PAVT</t>
  </si>
  <si>
    <t>FXSQ32PAVT</t>
  </si>
  <si>
    <t>FXSQ40PAVT</t>
  </si>
  <si>
    <t>FXSQ50PAVT</t>
  </si>
  <si>
    <t>FXSQ63PAVT</t>
  </si>
  <si>
    <t>FXSQ100PAVT</t>
  </si>
  <si>
    <t>FXSQ125PAVT</t>
  </si>
  <si>
    <t>FXSQ140PAVT</t>
  </si>
  <si>
    <t>FXMQ20PAVT</t>
  </si>
  <si>
    <t>FXMQ25PAVT</t>
  </si>
  <si>
    <t>FXMQ32PAVT</t>
  </si>
  <si>
    <t>FXMQ40PAVT</t>
  </si>
  <si>
    <t>FXMQ50PAVT</t>
  </si>
  <si>
    <t>FXMQ63PAVT</t>
  </si>
  <si>
    <t>FXMQ80PAVT</t>
  </si>
  <si>
    <t>FXMQ100PAVT</t>
  </si>
  <si>
    <t>FXMQ125PAVT</t>
  </si>
  <si>
    <t>FXMQ140PAVT</t>
  </si>
  <si>
    <t>FXMQ250MVET</t>
  </si>
  <si>
    <t>FXMQ200PVMT</t>
  </si>
  <si>
    <t>FXMQ250PVMT</t>
  </si>
  <si>
    <t>FXMQ48MFVJU</t>
  </si>
  <si>
    <t>FXMQ72MFVJU</t>
  </si>
  <si>
    <t>FXMQ96MFVJU</t>
  </si>
  <si>
    <t>FXMQ80AFVLT</t>
  </si>
  <si>
    <t>FXMQ140AFVLT</t>
  </si>
  <si>
    <t>FXMQ200AFVLT</t>
  </si>
  <si>
    <t>FXMQ250AFVLT</t>
  </si>
  <si>
    <t>FXPQ25AVN</t>
  </si>
  <si>
    <t>FXFQ25BVT</t>
  </si>
  <si>
    <t>FXFQ32BVT</t>
  </si>
  <si>
    <t>FXFQ40BVT</t>
  </si>
  <si>
    <t>FXFQ50BVT</t>
  </si>
  <si>
    <t>FXFQ63BVT</t>
  </si>
  <si>
    <t>FXFQ80BVT</t>
  </si>
  <si>
    <t>FXFQ100BVT</t>
  </si>
  <si>
    <t>FXFQ125BVT</t>
  </si>
  <si>
    <t>FXFQ140BVT</t>
  </si>
  <si>
    <t>FXFSQ25BVT</t>
  </si>
  <si>
    <t>FXFSQ32BVT</t>
  </si>
  <si>
    <t>FXFSQ40BVT</t>
  </si>
  <si>
    <t>FXFSQ50BVT</t>
  </si>
  <si>
    <t>FXFSQ63BVT</t>
  </si>
  <si>
    <t>FXFSQ80BVT</t>
  </si>
  <si>
    <t>FXFSQ100BVT</t>
  </si>
  <si>
    <t>FXFSQ125BVT</t>
  </si>
  <si>
    <t>FXFSQ140BVT</t>
  </si>
  <si>
    <t>FXAQ20AVLT</t>
  </si>
  <si>
    <t>FXAQ25AVLT</t>
  </si>
  <si>
    <t>FXAQ32AVLT</t>
  </si>
  <si>
    <t>FXAQ40AVLT</t>
  </si>
  <si>
    <t>FXAQ50AVLT</t>
  </si>
  <si>
    <t>FXAQ63AVLT</t>
  </si>
  <si>
    <t>FXHQ32MVET</t>
  </si>
  <si>
    <t>FXHQ63MVET</t>
  </si>
  <si>
    <t>FXHQ100MVET</t>
  </si>
  <si>
    <t>FXVQ250NTL</t>
  </si>
  <si>
    <t>FXVQ400NTL</t>
  </si>
  <si>
    <t>FXVQ500NTL</t>
  </si>
  <si>
    <t>FXZQ20BVLT</t>
  </si>
  <si>
    <t>FXZQ25BVLT</t>
  </si>
  <si>
    <t>FXZQ32BVLT</t>
  </si>
  <si>
    <t>FXZQ40BVLT</t>
  </si>
  <si>
    <t>FXZQ50BVLT</t>
  </si>
  <si>
    <t>FXCQ20AVT</t>
  </si>
  <si>
    <t>FXCQ25AVT</t>
  </si>
  <si>
    <t>FXCQ32AVT</t>
  </si>
  <si>
    <t>FXCQ40AVT</t>
  </si>
  <si>
    <t>FXCQ50AVT</t>
  </si>
  <si>
    <t>FXCQ63AVT</t>
  </si>
  <si>
    <t>FXCQ80AVT</t>
  </si>
  <si>
    <t>FXCQ125AVT</t>
  </si>
  <si>
    <t>FFQ25JVLT</t>
  </si>
  <si>
    <t>FFQ30JVLT</t>
  </si>
  <si>
    <t>FFQ40JVLT</t>
  </si>
  <si>
    <t>FFQ50JVLT</t>
  </si>
  <si>
    <t>FFQ60JVLT</t>
  </si>
  <si>
    <t>CDXS25EAVMT</t>
  </si>
  <si>
    <t>CDXS30JVLT</t>
  </si>
  <si>
    <t>CDXS40JVLT</t>
  </si>
  <si>
    <t>CDXS50DVMT</t>
  </si>
  <si>
    <t>CDXS60DVMT</t>
  </si>
  <si>
    <t>FTXS20KVLT</t>
  </si>
  <si>
    <t>FTXS25KVLT</t>
  </si>
  <si>
    <t>CTXS30KVLT</t>
  </si>
  <si>
    <t>FTXS40JVLT</t>
  </si>
  <si>
    <t>CTXS50JVLT</t>
  </si>
  <si>
    <t>CTXS60JVLT</t>
  </si>
  <si>
    <t>CTXS70JVLT</t>
  </si>
  <si>
    <t>FTXJ25NVLTW</t>
  </si>
  <si>
    <t>FTXJ41NVLTW</t>
  </si>
  <si>
    <t>-</t>
  </si>
  <si>
    <t>室外機供電</t>
  </si>
  <si>
    <t>299×920×275</t>
    <phoneticPr fontId="1" type="noConversion"/>
  </si>
  <si>
    <t>299×1100×275</t>
    <phoneticPr fontId="1" type="noConversion"/>
  </si>
  <si>
    <t>329×1240×278</t>
    <phoneticPr fontId="1" type="noConversion"/>
  </si>
  <si>
    <t>299×920×275</t>
  </si>
  <si>
    <t>299×1100×275</t>
  </si>
  <si>
    <t>299×838×275</t>
  </si>
  <si>
    <t>329×1240×278</t>
  </si>
  <si>
    <t>285×770×226</t>
  </si>
  <si>
    <t>295×990×266</t>
  </si>
  <si>
    <t>286×770×244</t>
  </si>
  <si>
    <t>295×993×281</t>
  </si>
  <si>
    <t>285×770×242</t>
  </si>
  <si>
    <t>295×990×281</t>
  </si>
  <si>
    <t>200×700×620</t>
  </si>
  <si>
    <t>200×900×620</t>
  </si>
  <si>
    <t>200×1100×620</t>
  </si>
  <si>
    <t>340×1200×259</t>
  </si>
  <si>
    <t>595 × 845 × 300</t>
  </si>
  <si>
    <t>990 × 940 × 320</t>
  </si>
  <si>
    <t>256×840×840</t>
  </si>
  <si>
    <t>298×840×840</t>
  </si>
  <si>
    <t>245×1000×800</t>
  </si>
  <si>
    <t>245×1400×800</t>
  </si>
  <si>
    <t>245×550×800</t>
  </si>
  <si>
    <t>245×700×800</t>
  </si>
  <si>
    <t>245×1550×800</t>
  </si>
  <si>
    <t>300×550×700</t>
  </si>
  <si>
    <t>300×700×700</t>
  </si>
  <si>
    <t>300×1000×700</t>
  </si>
  <si>
    <t>300×1400×700</t>
  </si>
  <si>
    <t>470×1380×1100</t>
  </si>
  <si>
    <t>470×1490×1100</t>
  </si>
  <si>
    <t>470×744×1100</t>
  </si>
  <si>
    <t>455×555×470</t>
  </si>
  <si>
    <t>290×795×266</t>
  </si>
  <si>
    <t>290×1050×269</t>
  </si>
  <si>
    <t>195×960×680</t>
  </si>
  <si>
    <t>195×1160×680</t>
  </si>
  <si>
    <t>195×1400×680</t>
  </si>
  <si>
    <t>1670×1170×510</t>
  </si>
  <si>
    <t>1900×1170×720</t>
  </si>
  <si>
    <t>1900×1470×720</t>
  </si>
  <si>
    <t>260×575×575</t>
  </si>
  <si>
    <t>305×775×620</t>
  </si>
  <si>
    <t>305×990×620</t>
  </si>
  <si>
    <t>305×1445×620</t>
  </si>
  <si>
    <t>55×700×700</t>
  </si>
  <si>
    <t>295×800×215</t>
  </si>
  <si>
    <t>290×1050×250</t>
  </si>
  <si>
    <t>303 × 998 × 212</t>
  </si>
  <si>
    <t>形式（您附圖中的型式），供未來前端勾選過濾。</t>
    <phoneticPr fontId="1" type="noConversion"/>
  </si>
  <si>
    <t>壁掛式</t>
    <phoneticPr fontId="1" type="noConversion"/>
  </si>
  <si>
    <t>吊隱式</t>
    <phoneticPr fontId="1" type="noConversion"/>
  </si>
  <si>
    <t>嵌入式</t>
    <phoneticPr fontId="1" type="noConversion"/>
  </si>
  <si>
    <t>單點式</t>
    <phoneticPr fontId="1" type="noConversion"/>
  </si>
  <si>
    <t>天吊式</t>
    <phoneticPr fontId="1" type="noConversion"/>
  </si>
  <si>
    <t>箱型機</t>
    <phoneticPr fontId="1" type="noConversion"/>
  </si>
  <si>
    <t>橫綱X系列</t>
    <phoneticPr fontId="6" type="noConversion"/>
  </si>
  <si>
    <t>標稱能力</t>
    <phoneticPr fontId="1" type="noConversion"/>
  </si>
  <si>
    <t>電源</t>
    <phoneticPr fontId="1" type="noConversion"/>
  </si>
  <si>
    <t>SUPER MULTI系列</t>
    <phoneticPr fontId="1" type="noConversion"/>
  </si>
  <si>
    <t>家用MULTI系列</t>
    <phoneticPr fontId="1" type="noConversion"/>
  </si>
  <si>
    <t>隱藏風管系列</t>
    <phoneticPr fontId="1" type="noConversion"/>
  </si>
  <si>
    <t>全方吹(智慧感應型)</t>
    <phoneticPr fontId="1" type="noConversion"/>
  </si>
  <si>
    <t>全方吹(一般型)</t>
    <phoneticPr fontId="1" type="noConversion"/>
  </si>
  <si>
    <t>外氣處理(出風溫度控制)</t>
    <phoneticPr fontId="1" type="noConversion"/>
  </si>
  <si>
    <t>外氣處理(回風溫度控制)</t>
    <phoneticPr fontId="1" type="noConversion"/>
  </si>
  <si>
    <t>高靜壓(DC)</t>
    <phoneticPr fontId="1" type="noConversion"/>
  </si>
  <si>
    <t>高靜壓</t>
    <phoneticPr fontId="1" type="noConversion"/>
  </si>
  <si>
    <t>中高靜壓</t>
    <phoneticPr fontId="1" type="noConversion"/>
  </si>
  <si>
    <t>中靜壓</t>
    <phoneticPr fontId="1" type="noConversion"/>
  </si>
  <si>
    <t>低靜壓(有排水泵)</t>
    <phoneticPr fontId="1" type="noConversion"/>
  </si>
  <si>
    <t>低靜壓(無排水泵)</t>
    <phoneticPr fontId="1" type="noConversion"/>
  </si>
  <si>
    <t>全方吹</t>
    <phoneticPr fontId="1" type="noConversion"/>
  </si>
  <si>
    <t>小型四方吹</t>
    <phoneticPr fontId="1" type="noConversion"/>
  </si>
  <si>
    <t>雙向氣流</t>
    <phoneticPr fontId="1" type="noConversion"/>
  </si>
  <si>
    <t>家用系列(小型多方吹)</t>
    <phoneticPr fontId="1" type="noConversion"/>
  </si>
  <si>
    <t>RXYMQ6TVET</t>
    <phoneticPr fontId="1" type="noConversion"/>
  </si>
  <si>
    <t>3φ, 4P, 380V, 60Hz</t>
  </si>
  <si>
    <t>3φ, 3P, 220V, 60Hz</t>
  </si>
  <si>
    <t>FTXM71YVLT</t>
    <phoneticPr fontId="1" type="noConversion"/>
  </si>
  <si>
    <t>FTHF40ZVLT</t>
    <phoneticPr fontId="1" type="noConversion"/>
  </si>
  <si>
    <t>FTHF50ZVLT</t>
    <phoneticPr fontId="1" type="noConversion"/>
  </si>
  <si>
    <t>FTHF60ZVLT</t>
    <phoneticPr fontId="1" type="noConversion"/>
  </si>
  <si>
    <t>FTHF71ZVLT</t>
    <phoneticPr fontId="1" type="noConversion"/>
  </si>
  <si>
    <t>橫綱X系列</t>
    <phoneticPr fontId="1" type="noConversion"/>
  </si>
  <si>
    <t>RXM22XVLT</t>
    <phoneticPr fontId="1" type="noConversion"/>
  </si>
  <si>
    <t>RXM28XVLT</t>
    <phoneticPr fontId="1" type="noConversion"/>
  </si>
  <si>
    <t>RXM36XVLT</t>
    <phoneticPr fontId="1" type="noConversion"/>
  </si>
  <si>
    <t>RXM41XVLT</t>
    <phoneticPr fontId="1" type="noConversion"/>
  </si>
  <si>
    <t>RXM50XVLT</t>
    <phoneticPr fontId="1" type="noConversion"/>
  </si>
  <si>
    <t>RXM60XVLT</t>
    <phoneticPr fontId="1" type="noConversion"/>
  </si>
  <si>
    <t>RXM71XVLT</t>
    <phoneticPr fontId="1" type="noConversion"/>
  </si>
  <si>
    <t>RXM80XVLT</t>
    <phoneticPr fontId="1" type="noConversion"/>
  </si>
  <si>
    <t>RXM90XVLT</t>
    <phoneticPr fontId="1" type="noConversion"/>
  </si>
  <si>
    <t>550×675×284</t>
  </si>
  <si>
    <t>595×845×300</t>
  </si>
  <si>
    <t>695×930×350</t>
  </si>
  <si>
    <t>990×940×320</t>
  </si>
  <si>
    <t>大關U系列</t>
    <phoneticPr fontId="1" type="noConversion"/>
  </si>
  <si>
    <t>RXV22UVLT</t>
    <phoneticPr fontId="1" type="noConversion"/>
  </si>
  <si>
    <t>RXV28UVLT</t>
    <phoneticPr fontId="1" type="noConversion"/>
  </si>
  <si>
    <t>RXV36UVLT</t>
    <phoneticPr fontId="1" type="noConversion"/>
  </si>
  <si>
    <t>RXV41UVLT</t>
    <phoneticPr fontId="1" type="noConversion"/>
  </si>
  <si>
    <t>RXV50UVLT</t>
    <phoneticPr fontId="1" type="noConversion"/>
  </si>
  <si>
    <t>RXV60UVLT</t>
    <phoneticPr fontId="1" type="noConversion"/>
  </si>
  <si>
    <t>RXV71UVLT</t>
    <phoneticPr fontId="1" type="noConversion"/>
  </si>
  <si>
    <t>550×845×300</t>
  </si>
  <si>
    <t>RHF20VAVLT</t>
  </si>
  <si>
    <t>RHF25VAVLT</t>
  </si>
  <si>
    <t>經典V系列</t>
    <phoneticPr fontId="1" type="noConversion"/>
  </si>
  <si>
    <t>FXMQ200MVET</t>
    <phoneticPr fontId="1" type="noConversion"/>
  </si>
  <si>
    <t>建議搭配的室內機型式</t>
    <phoneticPr fontId="1" type="noConversion"/>
  </si>
  <si>
    <t>3φ, 4P, 380V, 60Hz</t>
    <phoneticPr fontId="1" type="noConversion"/>
  </si>
  <si>
    <t>RZAC140DTLT</t>
    <phoneticPr fontId="1" type="noConversion"/>
  </si>
  <si>
    <t>3φ, 3P, 220V, 60Hz</t>
    <phoneticPr fontId="1" type="noConversion"/>
  </si>
  <si>
    <t>FCA140CVLT</t>
    <phoneticPr fontId="1" type="noConversion"/>
  </si>
  <si>
    <t>冷專上吹型</t>
    <phoneticPr fontId="1" type="noConversion"/>
  </si>
  <si>
    <t>冷暖上吹型</t>
    <phoneticPr fontId="1" type="noConversion"/>
  </si>
  <si>
    <t>轉接小P版</t>
    <phoneticPr fontId="1" type="noConversion"/>
  </si>
  <si>
    <t>集控轉接基板</t>
    <phoneticPr fontId="1" type="noConversion"/>
  </si>
  <si>
    <t>室外機分歧頭</t>
    <phoneticPr fontId="1" type="noConversion"/>
  </si>
  <si>
    <t>遙控器型號</t>
    <phoneticPr fontId="1" type="noConversion"/>
  </si>
  <si>
    <t>無線接收器</t>
    <phoneticPr fontId="1" type="noConversion"/>
  </si>
  <si>
    <t>內建</t>
    <phoneticPr fontId="1" type="noConversion"/>
  </si>
  <si>
    <t>BRP067A42</t>
    <phoneticPr fontId="1" type="noConversion"/>
  </si>
  <si>
    <t>BRP072C42</t>
    <phoneticPr fontId="1" type="noConversion"/>
  </si>
  <si>
    <t>BRP980B42</t>
    <phoneticPr fontId="1" type="noConversion"/>
  </si>
  <si>
    <t>KRP928BB2S</t>
    <phoneticPr fontId="1" type="noConversion"/>
  </si>
  <si>
    <t>BRP084C45</t>
    <phoneticPr fontId="1" type="noConversion"/>
  </si>
  <si>
    <t>VRV / SA / RA</t>
  </si>
  <si>
    <r>
      <t>（必填）</t>
    </r>
    <r>
      <rPr>
        <sz val="9"/>
        <color rgb="FF1F1F1F"/>
        <rFont val="微軟正黑體"/>
        <family val="2"/>
        <charset val="136"/>
      </rPr>
      <t xml:space="preserve"> 區分系統，對應現有程式的判定。</t>
    </r>
  </si>
  <si>
    <t>橫綱V系列 / FXSQ</t>
  </si>
  <si>
    <r>
      <t>（必填）主鍵</t>
    </r>
    <r>
      <rPr>
        <sz val="9"/>
        <color rgb="FF1F1F1F"/>
        <rFont val="微軟正黑體"/>
        <family val="2"/>
        <charset val="136"/>
      </rPr>
      <t>，不可重複。</t>
    </r>
  </si>
  <si>
    <r>
      <t>（必填）</t>
    </r>
    <r>
      <rPr>
        <sz val="9"/>
        <color rgb="FF1F1F1F"/>
        <rFont val="微軟正黑體"/>
        <family val="2"/>
        <charset val="136"/>
      </rPr>
      <t xml:space="preserve"> 程式計算的核心冷房能力（kW）。</t>
    </r>
  </si>
  <si>
    <t>80 或 2.5馬力</t>
  </si>
  <si>
    <t>最高靜壓（Pa），隱埋機型專屬，沒靜壓的填 0 或空著。</t>
  </si>
  <si>
    <t xml:space="preserve"> </t>
    <phoneticPr fontId="1" type="noConversion"/>
  </si>
  <si>
    <t>kRP928BB2S</t>
    <phoneticPr fontId="1" type="noConversion"/>
  </si>
  <si>
    <t>BRP072C42-1</t>
    <phoneticPr fontId="1" type="noConversion"/>
  </si>
  <si>
    <t>定價 (NT$)</t>
    <phoneticPr fontId="1" type="noConversion"/>
  </si>
  <si>
    <t>[選填] 室內機定價。VRV 與 RA 家用多聯請填單機價；1對1 機型請留空或填 0</t>
    <phoneticPr fontId="1" type="noConversion"/>
  </si>
  <si>
    <t>[選填] 室外機定價。1對1 請填「室外機+室內機」合併總價；VRV/多聯請填室外機單價</t>
    <phoneticPr fontId="1" type="noConversion"/>
  </si>
  <si>
    <t>商用 1對1 皆為整組報價，此分頁各欄可直接留空或填 0</t>
    <phoneticPr fontId="1" type="noConversion"/>
  </si>
  <si>
    <t>商用 1對1（如 RZF71、RZAC71、RZF140 等），填入商用 1對1（室內機+室外機）整組合併定價。</t>
    <phoneticPr fontId="1" type="noConversion"/>
  </si>
  <si>
    <t>有線遙控器</t>
    <phoneticPr fontId="1" type="noConversion"/>
  </si>
  <si>
    <t>無線遙控器</t>
    <phoneticPr fontId="1" type="noConversion"/>
  </si>
  <si>
    <t>2MXP85ZVLT</t>
    <phoneticPr fontId="1" type="noConversion"/>
  </si>
  <si>
    <t>395×930×350</t>
    <phoneticPr fontId="1" type="noConversion"/>
  </si>
  <si>
    <t>BRC1E63R</t>
    <phoneticPr fontId="1" type="noConversion"/>
  </si>
  <si>
    <t>BRC4C65</t>
    <phoneticPr fontId="1" type="noConversion"/>
  </si>
  <si>
    <t>BRC4C62-9</t>
    <phoneticPr fontId="1" type="noConversion"/>
  </si>
  <si>
    <t>BRC7M634F</t>
    <phoneticPr fontId="1" type="noConversion"/>
  </si>
  <si>
    <t>BRC7M675</t>
    <phoneticPr fontId="1" type="noConversion"/>
  </si>
  <si>
    <t>BRC7EA63W9</t>
    <phoneticPr fontId="1" type="noConversion"/>
  </si>
  <si>
    <t>BRC7M530W</t>
    <phoneticPr fontId="1" type="noConversion"/>
  </si>
  <si>
    <t>BRC7M65</t>
    <phoneticPr fontId="1" type="noConversion"/>
  </si>
  <si>
    <t>集中控制器</t>
    <phoneticPr fontId="1" type="noConversion"/>
  </si>
  <si>
    <t>DCS301BA61</t>
    <phoneticPr fontId="1" type="noConversion"/>
  </si>
  <si>
    <t>集中ON-OFF控制器</t>
    <phoneticPr fontId="1" type="noConversion"/>
  </si>
  <si>
    <t>中央集中控制器</t>
    <phoneticPr fontId="1" type="noConversion"/>
  </si>
  <si>
    <t>DCS302CA61</t>
    <phoneticPr fontId="1" type="noConversion"/>
  </si>
  <si>
    <t>DCS303A61</t>
    <phoneticPr fontId="1" type="noConversion"/>
  </si>
  <si>
    <t>DST301BA61</t>
    <phoneticPr fontId="1" type="noConversion"/>
  </si>
  <si>
    <t>家用集中控制器</t>
    <phoneticPr fontId="1" type="noConversion"/>
  </si>
  <si>
    <t>預定時程控制器</t>
    <phoneticPr fontId="1" type="noConversion"/>
  </si>
  <si>
    <t>DTP401A61</t>
    <phoneticPr fontId="1" type="noConversion"/>
  </si>
  <si>
    <t>DTP401A63</t>
    <phoneticPr fontId="1" type="noConversion"/>
  </si>
  <si>
    <t>中央集控外接監控基板</t>
    <phoneticPr fontId="1" type="noConversion"/>
  </si>
  <si>
    <t>DCS302A52</t>
    <phoneticPr fontId="1" type="noConversion"/>
  </si>
  <si>
    <t>STC集中控制器</t>
    <phoneticPr fontId="1" type="noConversion"/>
  </si>
  <si>
    <t>STC集中控制器電源</t>
    <phoneticPr fontId="1" type="noConversion"/>
  </si>
  <si>
    <t>DCM601B51</t>
    <phoneticPr fontId="1" type="noConversion"/>
  </si>
  <si>
    <t>ITM</t>
    <phoneticPr fontId="1" type="noConversion"/>
  </si>
  <si>
    <t>DGE601A52</t>
    <phoneticPr fontId="1" type="noConversion"/>
  </si>
  <si>
    <t>ITM擴充卡1</t>
    <phoneticPr fontId="1" type="noConversion"/>
  </si>
  <si>
    <t>DGE601A53</t>
    <phoneticPr fontId="1" type="noConversion"/>
  </si>
  <si>
    <t>ITM擴充卡插槽</t>
    <phoneticPr fontId="1" type="noConversion"/>
  </si>
  <si>
    <t>DCM009A51</t>
    <phoneticPr fontId="1" type="noConversion"/>
  </si>
  <si>
    <t>DCM007A51</t>
    <phoneticPr fontId="1" type="noConversion"/>
  </si>
  <si>
    <t>ITM WEB網路</t>
    <phoneticPr fontId="1" type="noConversion"/>
  </si>
  <si>
    <t>網路接伶俐</t>
    <phoneticPr fontId="1" type="noConversion"/>
  </si>
  <si>
    <t>DTA116A51</t>
    <phoneticPr fontId="1" type="noConversion"/>
  </si>
  <si>
    <t>Modbus 介面</t>
    <phoneticPr fontId="1" type="noConversion"/>
  </si>
  <si>
    <t>BACnet 介面</t>
    <phoneticPr fontId="1" type="noConversion"/>
  </si>
  <si>
    <t>ITM BACnet協定軟體</t>
    <phoneticPr fontId="1" type="noConversion"/>
  </si>
  <si>
    <t>DMS502B51</t>
    <phoneticPr fontId="1" type="noConversion"/>
  </si>
  <si>
    <t>DAM411B51</t>
    <phoneticPr fontId="1" type="noConversion"/>
  </si>
  <si>
    <t>BACnet 擴充組</t>
    <phoneticPr fontId="1" type="noConversion"/>
  </si>
  <si>
    <t>DCPA01</t>
    <phoneticPr fontId="1" type="noConversion"/>
  </si>
  <si>
    <t>伶俐用轉接器</t>
    <phoneticPr fontId="1" type="noConversion"/>
  </si>
  <si>
    <t>DCPF01</t>
    <phoneticPr fontId="1" type="noConversion"/>
  </si>
  <si>
    <t>伶俐智控管理器</t>
    <phoneticPr fontId="1" type="noConversion"/>
  </si>
  <si>
    <t>型號</t>
    <phoneticPr fontId="1" type="noConversion"/>
  </si>
  <si>
    <t>中文名稱</t>
    <phoneticPr fontId="1" type="noConversion"/>
  </si>
  <si>
    <t>報價</t>
    <phoneticPr fontId="1" type="noConversion"/>
  </si>
  <si>
    <t>低階</t>
    <phoneticPr fontId="1" type="noConversion"/>
  </si>
  <si>
    <t>高階</t>
    <phoneticPr fontId="1" type="noConversion"/>
  </si>
  <si>
    <t>備註</t>
    <phoneticPr fontId="1" type="noConversion"/>
  </si>
  <si>
    <t>無線接收器</t>
  </si>
  <si>
    <t>集控轉接基板</t>
  </si>
  <si>
    <t>BRP084C45</t>
  </si>
  <si>
    <t>RHF30VAVLT</t>
    <phoneticPr fontId="1" type="noConversion"/>
  </si>
  <si>
    <t>RHF50VAVLT</t>
    <phoneticPr fontId="1" type="noConversion"/>
  </si>
  <si>
    <t>RHF60VAVLT</t>
    <phoneticPr fontId="1" type="noConversion"/>
  </si>
  <si>
    <t>RHF71VAVLT</t>
    <phoneticPr fontId="1" type="noConversion"/>
  </si>
  <si>
    <t>FTHF40VAVLT</t>
    <phoneticPr fontId="1" type="noConversion"/>
  </si>
  <si>
    <t>FTHF50VAVLT</t>
    <phoneticPr fontId="1" type="noConversion"/>
  </si>
  <si>
    <t>FTHF60VAVLT</t>
    <phoneticPr fontId="1" type="noConversion"/>
  </si>
  <si>
    <t>FTHF71VAVLT</t>
    <phoneticPr fontId="1" type="noConversion"/>
  </si>
  <si>
    <t>RHF40VAVLT</t>
    <phoneticPr fontId="1" type="noConversion"/>
  </si>
  <si>
    <t>DCPH01H</t>
    <phoneticPr fontId="1" type="noConversion"/>
  </si>
  <si>
    <t>含Z-wave</t>
    <phoneticPr fontId="1" type="noConversion"/>
  </si>
  <si>
    <t>伶俐智控管理器-住宅</t>
    <phoneticPr fontId="1" type="noConversion"/>
  </si>
  <si>
    <t>VRV分歧頭</t>
    <phoneticPr fontId="1" type="noConversion"/>
  </si>
  <si>
    <t>KHRP26A22T</t>
    <phoneticPr fontId="1" type="noConversion"/>
  </si>
  <si>
    <t>KHRP26A33T</t>
    <phoneticPr fontId="1" type="noConversion"/>
  </si>
  <si>
    <t>KHRP26A72T</t>
    <phoneticPr fontId="1" type="noConversion"/>
  </si>
  <si>
    <t>KHRP26A73T</t>
    <phoneticPr fontId="1" type="noConversion"/>
  </si>
  <si>
    <t>室內機分歧頭</t>
    <phoneticPr fontId="1" type="noConversion"/>
  </si>
  <si>
    <t>BHFP22P100</t>
    <phoneticPr fontId="1" type="noConversion"/>
  </si>
  <si>
    <t>BHFP22P151</t>
    <phoneticPr fontId="1" type="noConversion"/>
  </si>
  <si>
    <t>全熱交換器</t>
    <phoneticPr fontId="1" type="noConversion"/>
  </si>
  <si>
    <t>HRV</t>
    <phoneticPr fontId="1" type="noConversion"/>
  </si>
  <si>
    <t>循環風量(CMH)</t>
    <phoneticPr fontId="1" type="noConversion"/>
  </si>
  <si>
    <t>VAM150HVLT</t>
    <phoneticPr fontId="1" type="noConversion"/>
  </si>
  <si>
    <t>VAM250HVLT</t>
    <phoneticPr fontId="1" type="noConversion"/>
  </si>
  <si>
    <t>VAM350HVLT</t>
    <phoneticPr fontId="1" type="noConversion"/>
  </si>
  <si>
    <t>VAM500HVLT</t>
    <phoneticPr fontId="1" type="noConversion"/>
  </si>
  <si>
    <t>VAM650HVLT</t>
    <phoneticPr fontId="1" type="noConversion"/>
  </si>
  <si>
    <t>VAM800HVLT</t>
    <phoneticPr fontId="1" type="noConversion"/>
  </si>
  <si>
    <t>VAM1000HVLT</t>
    <phoneticPr fontId="1" type="noConversion"/>
  </si>
  <si>
    <t>VAM1500HVLT</t>
    <phoneticPr fontId="1" type="noConversion"/>
  </si>
  <si>
    <t>VAM2000HVLT</t>
    <phoneticPr fontId="1" type="noConversion"/>
  </si>
  <si>
    <t>PM2.5濾網</t>
    <phoneticPr fontId="1" type="noConversion"/>
  </si>
  <si>
    <t>尺寸</t>
    <phoneticPr fontId="1" type="noConversion"/>
  </si>
  <si>
    <t>278×551×810</t>
    <phoneticPr fontId="1" type="noConversion"/>
  </si>
  <si>
    <t>306×800×879</t>
    <phoneticPr fontId="1" type="noConversion"/>
  </si>
  <si>
    <t>338×832×973</t>
    <phoneticPr fontId="1" type="noConversion"/>
  </si>
  <si>
    <t>387×1,012×1,110</t>
    <phoneticPr fontId="1" type="noConversion"/>
  </si>
  <si>
    <t>785×1,012×1,110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</si>
</sst>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#,##0_ "/>
    <numFmt numFmtId="178" formatCode="#,##0_);[Red]\(#,##0\)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1F1F1F"/>
      <name val="微軟正黑體"/>
      <family val="2"/>
      <charset val="136"/>
    </font>
    <font>
      <sz val="9"/>
      <color rgb="FF1F1F1F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9"/>
      <color rgb="FF1F1F1F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color theme="1"/>
      <name val="新細明體"/>
      <family val="2"/>
      <charset val="136"/>
      <scheme val="minor"/>
    </font>
    <font>
      <sz val="9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vertical="center" wrapText="1" readingOrder="1"/>
    </xf>
    <xf numFmtId="0" fontId="4" fillId="0" borderId="2" xfId="0" applyFont="1" applyFill="1" applyBorder="1" applyAlignment="1">
      <alignment vertical="center" wrapText="1" readingOrder="1"/>
    </xf>
    <xf numFmtId="0" fontId="0" fillId="0" borderId="2" xfId="0" applyBorder="1">
      <alignment vertical="center"/>
    </xf>
    <xf numFmtId="176" fontId="5" fillId="0" borderId="1" xfId="0" applyNumberFormat="1" applyFont="1" applyBorder="1" applyAlignment="1">
      <alignment horizontal="center" vertical="center" wrapText="1" readingOrder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 wrapText="1" readingOrder="1"/>
    </xf>
    <xf numFmtId="0" fontId="4" fillId="0" borderId="6" xfId="0" applyFont="1" applyFill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0" fillId="0" borderId="0" xfId="0" applyBorder="1">
      <alignment vertical="center"/>
    </xf>
    <xf numFmtId="0" fontId="0" fillId="0" borderId="0" xfId="0" quotePrefix="1" applyBorder="1" applyAlignment="1">
      <alignment horizontal="center" vertical="center"/>
    </xf>
    <xf numFmtId="0" fontId="5" fillId="0" borderId="0" xfId="0" quotePrefix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7" fillId="2" borderId="1" xfId="0" applyFont="1" applyFill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7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7" fillId="0" borderId="2" xfId="0" applyFont="1" applyFill="1" applyBorder="1" applyAlignment="1">
      <alignment vertical="center" wrapText="1" readingOrder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5" fillId="0" borderId="0" xfId="0" applyFont="1" applyBorder="1" applyAlignment="1">
      <alignment horizontal="center" vertical="center" wrapText="1" readingOrder="1"/>
    </xf>
    <xf numFmtId="177" fontId="2" fillId="0" borderId="0" xfId="0" applyNumberFormat="1" applyFont="1" applyFill="1" applyBorder="1" applyAlignment="1">
      <alignment vertical="center" wrapText="1" readingOrder="1"/>
    </xf>
    <xf numFmtId="177" fontId="4" fillId="0" borderId="4" xfId="0" applyNumberFormat="1" applyFont="1" applyBorder="1" applyAlignment="1">
      <alignment vertical="center" wrapText="1" readingOrder="1"/>
    </xf>
    <xf numFmtId="177" fontId="0" fillId="0" borderId="0" xfId="0" applyNumberFormat="1" applyAlignment="1">
      <alignment horizontal="center" vertical="center"/>
    </xf>
    <xf numFmtId="177" fontId="4" fillId="0" borderId="5" xfId="0" applyNumberFormat="1" applyFont="1" applyBorder="1" applyAlignment="1">
      <alignment vertical="center" wrapText="1" readingOrder="1"/>
    </xf>
    <xf numFmtId="177" fontId="0" fillId="0" borderId="0" xfId="0" applyNumberFormat="1">
      <alignment vertical="center"/>
    </xf>
    <xf numFmtId="178" fontId="3" fillId="0" borderId="0" xfId="0" applyNumberFormat="1" applyFont="1">
      <alignment vertical="center"/>
    </xf>
    <xf numFmtId="178" fontId="3" fillId="0" borderId="0" xfId="0" applyNumberFormat="1" applyFont="1" applyAlignment="1">
      <alignment horizontal="center" vertical="center"/>
    </xf>
    <xf numFmtId="178" fontId="5" fillId="0" borderId="3" xfId="0" applyNumberFormat="1" applyFont="1" applyBorder="1" applyAlignment="1">
      <alignment vertical="center" wrapText="1" readingOrder="1"/>
    </xf>
    <xf numFmtId="178" fontId="5" fillId="0" borderId="1" xfId="0" applyNumberFormat="1" applyFont="1" applyBorder="1" applyAlignment="1">
      <alignment horizontal="center" vertical="center" wrapText="1" readingOrder="1"/>
    </xf>
    <xf numFmtId="178" fontId="0" fillId="0" borderId="0" xfId="0" applyNumberFormat="1">
      <alignment vertical="center"/>
    </xf>
    <xf numFmtId="178" fontId="3" fillId="0" borderId="2" xfId="0" applyNumberFormat="1" applyFont="1" applyBorder="1">
      <alignment vertical="center"/>
    </xf>
    <xf numFmtId="0" fontId="7" fillId="0" borderId="0" xfId="0" applyFont="1" applyFill="1" applyBorder="1" applyAlignment="1">
      <alignment vertical="center" wrapText="1" readingOrder="1"/>
    </xf>
    <xf numFmtId="0" fontId="8" fillId="0" borderId="0" xfId="0" quotePrefix="1" applyFont="1">
      <alignment vertical="center"/>
    </xf>
    <xf numFmtId="178" fontId="3" fillId="0" borderId="2" xfId="0" quotePrefix="1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0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177" fontId="2" fillId="0" borderId="2" xfId="0" applyNumberFormat="1" applyFont="1" applyFill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F3F9-85F0-48DB-9A66-1B3BA6E48A6F}">
  <dimension ref="A1:GL20"/>
  <sheetViews>
    <sheetView topLeftCell="A10" zoomScale="85" zoomScaleNormal="85" workbookViewId="0">
      <selection activeCell="L10" sqref="L10"/>
    </sheetView>
  </sheetViews>
  <sheetFormatPr defaultColWidth="8.88671875" defaultRowHeight="15.6" x14ac:dyDescent="0.3"/>
  <cols>
    <col min="1" max="1" width="27.109375" style="2" customWidth="1"/>
    <col min="2" max="2" width="14.6640625" style="2" customWidth="1"/>
    <col min="3" max="3" width="14.6640625" style="6" hidden="1" customWidth="1"/>
    <col min="4" max="4" width="41.44140625" style="2" hidden="1" customWidth="1"/>
    <col min="5" max="5" width="10.6640625" style="6" customWidth="1"/>
    <col min="6" max="87" width="10.6640625" style="2" customWidth="1"/>
    <col min="88" max="88" width="12.6640625" style="2" bestFit="1" customWidth="1"/>
    <col min="89" max="193" width="10.6640625" style="2" customWidth="1"/>
    <col min="194" max="16384" width="8.88671875" style="2"/>
  </cols>
  <sheetData>
    <row r="1" spans="1:194" ht="24.6" thickBot="1" x14ac:dyDescent="0.35">
      <c r="A1" s="32" t="s">
        <v>15</v>
      </c>
      <c r="B1" s="33" t="s">
        <v>0</v>
      </c>
      <c r="C1" s="34" t="s">
        <v>1</v>
      </c>
      <c r="D1" s="32" t="s">
        <v>2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4"/>
    </row>
    <row r="2" spans="1:194" ht="16.2" thickBot="1" x14ac:dyDescent="0.35">
      <c r="A2" s="32" t="s">
        <v>41</v>
      </c>
      <c r="B2" s="35" t="s">
        <v>3</v>
      </c>
      <c r="C2" s="5" t="s">
        <v>542</v>
      </c>
      <c r="D2" s="36" t="s">
        <v>543</v>
      </c>
      <c r="E2" s="5" t="s">
        <v>218</v>
      </c>
      <c r="F2" s="5" t="s">
        <v>218</v>
      </c>
      <c r="G2" s="5" t="s">
        <v>218</v>
      </c>
      <c r="H2" s="5" t="s">
        <v>218</v>
      </c>
      <c r="I2" s="5" t="s">
        <v>218</v>
      </c>
      <c r="J2" s="5" t="s">
        <v>218</v>
      </c>
      <c r="K2" s="5" t="s">
        <v>218</v>
      </c>
      <c r="L2" s="5" t="s">
        <v>218</v>
      </c>
      <c r="M2" s="5" t="s">
        <v>218</v>
      </c>
      <c r="N2" s="5" t="s">
        <v>218</v>
      </c>
      <c r="O2" s="5" t="s">
        <v>218</v>
      </c>
      <c r="P2" s="5" t="s">
        <v>218</v>
      </c>
      <c r="Q2" s="5" t="s">
        <v>218</v>
      </c>
      <c r="R2" s="5" t="s">
        <v>218</v>
      </c>
      <c r="S2" s="5" t="s">
        <v>218</v>
      </c>
      <c r="T2" s="5" t="s">
        <v>218</v>
      </c>
      <c r="U2" s="5" t="s">
        <v>218</v>
      </c>
      <c r="V2" s="5" t="s">
        <v>218</v>
      </c>
      <c r="W2" s="5" t="s">
        <v>218</v>
      </c>
      <c r="X2" s="5" t="s">
        <v>218</v>
      </c>
      <c r="Y2" s="5" t="s">
        <v>218</v>
      </c>
      <c r="Z2" s="5" t="s">
        <v>218</v>
      </c>
      <c r="AA2" s="5" t="s">
        <v>218</v>
      </c>
      <c r="AB2" s="5" t="s">
        <v>218</v>
      </c>
      <c r="AC2" s="5" t="s">
        <v>218</v>
      </c>
      <c r="AD2" s="5" t="s">
        <v>218</v>
      </c>
      <c r="AE2" s="5" t="s">
        <v>218</v>
      </c>
      <c r="AF2" s="5" t="s">
        <v>218</v>
      </c>
      <c r="AG2" s="5" t="s">
        <v>218</v>
      </c>
      <c r="AH2" s="5" t="s">
        <v>218</v>
      </c>
      <c r="AI2" s="5" t="s">
        <v>218</v>
      </c>
      <c r="AJ2" s="5" t="s">
        <v>218</v>
      </c>
      <c r="AK2" s="5" t="s">
        <v>218</v>
      </c>
      <c r="AL2" s="5" t="s">
        <v>218</v>
      </c>
      <c r="AM2" s="5" t="s">
        <v>218</v>
      </c>
      <c r="AN2" s="5" t="s">
        <v>218</v>
      </c>
      <c r="AO2" s="5" t="s">
        <v>218</v>
      </c>
      <c r="AP2" s="5" t="s">
        <v>218</v>
      </c>
      <c r="AQ2" s="5" t="s">
        <v>218</v>
      </c>
      <c r="AR2" s="5" t="s">
        <v>218</v>
      </c>
      <c r="AS2" s="5" t="s">
        <v>218</v>
      </c>
      <c r="AT2" s="5" t="s">
        <v>218</v>
      </c>
      <c r="AU2" s="5" t="s">
        <v>218</v>
      </c>
      <c r="AV2" s="5" t="s">
        <v>218</v>
      </c>
      <c r="AW2" s="5" t="s">
        <v>218</v>
      </c>
      <c r="AX2" s="5" t="s">
        <v>218</v>
      </c>
      <c r="AY2" s="5" t="s">
        <v>218</v>
      </c>
      <c r="AZ2" s="5" t="s">
        <v>218</v>
      </c>
      <c r="BA2" s="5" t="s">
        <v>218</v>
      </c>
      <c r="BB2" s="5" t="s">
        <v>218</v>
      </c>
      <c r="BC2" s="5" t="s">
        <v>218</v>
      </c>
      <c r="BD2" s="5" t="s">
        <v>218</v>
      </c>
      <c r="BE2" s="5" t="s">
        <v>218</v>
      </c>
      <c r="BF2" s="5" t="s">
        <v>218</v>
      </c>
      <c r="BG2" s="5" t="s">
        <v>218</v>
      </c>
      <c r="BH2" s="5" t="s">
        <v>218</v>
      </c>
      <c r="BI2" s="5" t="s">
        <v>218</v>
      </c>
      <c r="BJ2" s="5" t="s">
        <v>218</v>
      </c>
      <c r="BK2" s="5" t="s">
        <v>218</v>
      </c>
      <c r="BL2" s="5" t="s">
        <v>218</v>
      </c>
      <c r="BM2" s="5" t="s">
        <v>218</v>
      </c>
      <c r="BN2" s="5" t="s">
        <v>218</v>
      </c>
      <c r="BO2" s="5" t="s">
        <v>218</v>
      </c>
      <c r="BP2" s="5" t="s">
        <v>218</v>
      </c>
      <c r="BQ2" s="5" t="s">
        <v>218</v>
      </c>
      <c r="BR2" s="5" t="s">
        <v>218</v>
      </c>
      <c r="BS2" s="5" t="s">
        <v>218</v>
      </c>
      <c r="BT2" s="5" t="s">
        <v>218</v>
      </c>
      <c r="BU2" s="5" t="s">
        <v>218</v>
      </c>
      <c r="BV2" s="5" t="s">
        <v>218</v>
      </c>
      <c r="BW2" s="5" t="s">
        <v>218</v>
      </c>
      <c r="BX2" s="5" t="s">
        <v>218</v>
      </c>
      <c r="BY2" s="5" t="s">
        <v>218</v>
      </c>
      <c r="BZ2" s="5" t="s">
        <v>218</v>
      </c>
      <c r="CA2" s="5" t="s">
        <v>218</v>
      </c>
      <c r="CB2" s="5" t="s">
        <v>218</v>
      </c>
      <c r="CC2" s="5" t="s">
        <v>218</v>
      </c>
      <c r="CD2" s="5" t="s">
        <v>218</v>
      </c>
      <c r="CE2" s="5" t="s">
        <v>218</v>
      </c>
      <c r="CF2" s="5" t="s">
        <v>218</v>
      </c>
      <c r="CG2" s="5" t="s">
        <v>218</v>
      </c>
      <c r="CH2" s="5" t="s">
        <v>218</v>
      </c>
      <c r="CI2" s="5" t="s">
        <v>218</v>
      </c>
      <c r="CJ2" s="5" t="s">
        <v>220</v>
      </c>
      <c r="CK2" s="5" t="s">
        <v>220</v>
      </c>
      <c r="CL2" s="5" t="s">
        <v>220</v>
      </c>
      <c r="CM2" s="5" t="s">
        <v>220</v>
      </c>
      <c r="CN2" s="5" t="s">
        <v>220</v>
      </c>
      <c r="CO2" s="5" t="s">
        <v>220</v>
      </c>
      <c r="CP2" s="5" t="s">
        <v>220</v>
      </c>
      <c r="CQ2" s="5" t="s">
        <v>220</v>
      </c>
      <c r="CR2" s="5" t="s">
        <v>220</v>
      </c>
      <c r="CS2" s="5" t="s">
        <v>220</v>
      </c>
      <c r="CT2" s="5" t="s">
        <v>220</v>
      </c>
      <c r="CU2" s="5" t="s">
        <v>220</v>
      </c>
      <c r="CV2" s="5" t="s">
        <v>220</v>
      </c>
      <c r="CW2" s="5" t="s">
        <v>220</v>
      </c>
      <c r="CX2" s="5" t="s">
        <v>220</v>
      </c>
      <c r="CY2" s="5" t="s">
        <v>220</v>
      </c>
      <c r="CZ2" s="5" t="s">
        <v>220</v>
      </c>
      <c r="DA2" s="5" t="s">
        <v>220</v>
      </c>
      <c r="DB2" s="5" t="s">
        <v>220</v>
      </c>
      <c r="DC2" s="5" t="s">
        <v>220</v>
      </c>
      <c r="DD2" s="5" t="s">
        <v>220</v>
      </c>
      <c r="DE2" s="5" t="s">
        <v>220</v>
      </c>
      <c r="DF2" s="5" t="s">
        <v>220</v>
      </c>
      <c r="DG2" s="5" t="s">
        <v>220</v>
      </c>
      <c r="DH2" s="5" t="s">
        <v>220</v>
      </c>
      <c r="DI2" s="5" t="s">
        <v>220</v>
      </c>
      <c r="DJ2" s="5" t="s">
        <v>220</v>
      </c>
      <c r="DK2" s="5" t="s">
        <v>220</v>
      </c>
      <c r="DL2" s="5" t="s">
        <v>220</v>
      </c>
      <c r="DM2" s="5" t="s">
        <v>220</v>
      </c>
      <c r="DN2" s="5" t="s">
        <v>220</v>
      </c>
      <c r="DO2" s="5" t="s">
        <v>220</v>
      </c>
      <c r="DP2" s="5" t="s">
        <v>220</v>
      </c>
      <c r="DQ2" s="5" t="s">
        <v>220</v>
      </c>
      <c r="DR2" s="5" t="s">
        <v>220</v>
      </c>
      <c r="DS2" s="5" t="s">
        <v>220</v>
      </c>
      <c r="DT2" s="5" t="s">
        <v>220</v>
      </c>
      <c r="DU2" s="5" t="s">
        <v>220</v>
      </c>
      <c r="DV2" s="5" t="s">
        <v>220</v>
      </c>
      <c r="DW2" s="5" t="s">
        <v>220</v>
      </c>
      <c r="DX2" s="5" t="s">
        <v>220</v>
      </c>
      <c r="DY2" s="5" t="s">
        <v>220</v>
      </c>
      <c r="DZ2" s="5" t="s">
        <v>220</v>
      </c>
      <c r="EA2" s="5" t="s">
        <v>220</v>
      </c>
      <c r="EB2" s="5" t="s">
        <v>220</v>
      </c>
      <c r="EC2" s="5" t="s">
        <v>220</v>
      </c>
      <c r="ED2" s="5" t="s">
        <v>220</v>
      </c>
      <c r="EE2" s="5" t="s">
        <v>220</v>
      </c>
      <c r="EF2" s="5" t="s">
        <v>220</v>
      </c>
      <c r="EG2" s="5" t="s">
        <v>220</v>
      </c>
      <c r="EH2" s="5" t="s">
        <v>220</v>
      </c>
      <c r="EI2" s="5" t="s">
        <v>220</v>
      </c>
      <c r="EJ2" s="5" t="s">
        <v>220</v>
      </c>
      <c r="EK2" s="5" t="s">
        <v>220</v>
      </c>
      <c r="EL2" s="5" t="s">
        <v>220</v>
      </c>
      <c r="EM2" s="5" t="s">
        <v>220</v>
      </c>
      <c r="EN2" s="5" t="s">
        <v>220</v>
      </c>
      <c r="EO2" s="5" t="s">
        <v>220</v>
      </c>
      <c r="EP2" s="5" t="s">
        <v>220</v>
      </c>
      <c r="EQ2" s="5" t="s">
        <v>220</v>
      </c>
      <c r="ER2" s="5" t="s">
        <v>220</v>
      </c>
      <c r="ES2" s="5" t="s">
        <v>220</v>
      </c>
      <c r="ET2" s="5" t="s">
        <v>220</v>
      </c>
      <c r="EU2" s="5" t="s">
        <v>220</v>
      </c>
      <c r="EV2" s="5" t="s">
        <v>220</v>
      </c>
      <c r="EW2" s="5" t="s">
        <v>220</v>
      </c>
      <c r="EX2" s="5" t="s">
        <v>220</v>
      </c>
      <c r="EY2" s="5" t="s">
        <v>220</v>
      </c>
      <c r="EZ2" s="5" t="s">
        <v>220</v>
      </c>
      <c r="FA2" s="5" t="s">
        <v>220</v>
      </c>
      <c r="FB2" s="5" t="s">
        <v>220</v>
      </c>
      <c r="FC2" s="5" t="s">
        <v>220</v>
      </c>
      <c r="FD2" s="5" t="s">
        <v>220</v>
      </c>
      <c r="FE2" s="5" t="s">
        <v>220</v>
      </c>
      <c r="FF2" s="5" t="s">
        <v>220</v>
      </c>
      <c r="FG2" s="5" t="s">
        <v>220</v>
      </c>
      <c r="FH2" s="5" t="s">
        <v>220</v>
      </c>
      <c r="FI2" s="5" t="s">
        <v>220</v>
      </c>
      <c r="FJ2" s="5" t="s">
        <v>220</v>
      </c>
      <c r="FK2" s="5" t="s">
        <v>220</v>
      </c>
      <c r="FL2" s="5" t="s">
        <v>220</v>
      </c>
      <c r="FM2" s="5" t="s">
        <v>220</v>
      </c>
      <c r="FN2" s="5" t="s">
        <v>220</v>
      </c>
      <c r="FO2" s="5" t="s">
        <v>220</v>
      </c>
      <c r="FP2" s="5" t="s">
        <v>220</v>
      </c>
      <c r="FQ2" s="5" t="s">
        <v>220</v>
      </c>
      <c r="FR2" s="5" t="s">
        <v>220</v>
      </c>
      <c r="FS2" s="5" t="s">
        <v>220</v>
      </c>
      <c r="FT2" s="5" t="s">
        <v>220</v>
      </c>
      <c r="FU2" s="5" t="s">
        <v>220</v>
      </c>
      <c r="FV2" s="5" t="s">
        <v>220</v>
      </c>
      <c r="FW2" s="5" t="s">
        <v>220</v>
      </c>
      <c r="FX2" s="5" t="s">
        <v>220</v>
      </c>
      <c r="FY2" s="5" t="s">
        <v>220</v>
      </c>
      <c r="FZ2" s="5" t="s">
        <v>220</v>
      </c>
      <c r="GA2" s="5" t="s">
        <v>220</v>
      </c>
      <c r="GB2" s="5" t="s">
        <v>220</v>
      </c>
      <c r="GC2" s="5" t="s">
        <v>220</v>
      </c>
      <c r="GD2" s="5" t="s">
        <v>220</v>
      </c>
      <c r="GE2" s="5" t="s">
        <v>220</v>
      </c>
      <c r="GF2" s="5" t="s">
        <v>220</v>
      </c>
      <c r="GG2" s="5" t="s">
        <v>220</v>
      </c>
      <c r="GH2" s="5" t="s">
        <v>220</v>
      </c>
      <c r="GI2" s="5" t="s">
        <v>220</v>
      </c>
      <c r="GJ2" s="5" t="s">
        <v>220</v>
      </c>
      <c r="GK2" s="5" t="s">
        <v>220</v>
      </c>
      <c r="GL2" s="5"/>
    </row>
    <row r="3" spans="1:194" ht="24.6" thickBot="1" x14ac:dyDescent="0.35">
      <c r="A3" s="32" t="s">
        <v>44</v>
      </c>
      <c r="B3" s="35" t="s">
        <v>3</v>
      </c>
      <c r="C3" s="5" t="s">
        <v>544</v>
      </c>
      <c r="D3" s="37" t="s">
        <v>4</v>
      </c>
      <c r="E3" s="5" t="s">
        <v>469</v>
      </c>
      <c r="F3" s="5" t="s">
        <v>469</v>
      </c>
      <c r="G3" s="5" t="s">
        <v>469</v>
      </c>
      <c r="H3" s="5" t="s">
        <v>469</v>
      </c>
      <c r="I3" s="5" t="s">
        <v>469</v>
      </c>
      <c r="J3" s="5" t="s">
        <v>469</v>
      </c>
      <c r="K3" s="5" t="s">
        <v>469</v>
      </c>
      <c r="L3" s="5" t="s">
        <v>469</v>
      </c>
      <c r="M3" s="5" t="s">
        <v>469</v>
      </c>
      <c r="N3" s="5" t="s">
        <v>75</v>
      </c>
      <c r="O3" s="5" t="s">
        <v>221</v>
      </c>
      <c r="P3" s="5" t="s">
        <v>221</v>
      </c>
      <c r="Q3" s="5" t="s">
        <v>221</v>
      </c>
      <c r="R3" s="5" t="s">
        <v>221</v>
      </c>
      <c r="S3" s="5" t="s">
        <v>221</v>
      </c>
      <c r="T3" s="5" t="s">
        <v>221</v>
      </c>
      <c r="U3" s="5" t="s">
        <v>222</v>
      </c>
      <c r="V3" s="5" t="s">
        <v>222</v>
      </c>
      <c r="W3" s="5" t="s">
        <v>222</v>
      </c>
      <c r="X3" s="5" t="s">
        <v>222</v>
      </c>
      <c r="Y3" s="5" t="s">
        <v>222</v>
      </c>
      <c r="Z3" s="5" t="s">
        <v>222</v>
      </c>
      <c r="AA3" s="5" t="s">
        <v>222</v>
      </c>
      <c r="AB3" s="5" t="s">
        <v>222</v>
      </c>
      <c r="AC3" s="5" t="s">
        <v>222</v>
      </c>
      <c r="AD3" s="5" t="s">
        <v>223</v>
      </c>
      <c r="AE3" s="5" t="s">
        <v>223</v>
      </c>
      <c r="AF3" s="5" t="s">
        <v>223</v>
      </c>
      <c r="AG3" s="5" t="s">
        <v>223</v>
      </c>
      <c r="AH3" s="5" t="s">
        <v>223</v>
      </c>
      <c r="AI3" s="5" t="s">
        <v>223</v>
      </c>
      <c r="AJ3" s="5" t="s">
        <v>223</v>
      </c>
      <c r="AK3" s="5" t="s">
        <v>224</v>
      </c>
      <c r="AL3" s="5" t="s">
        <v>224</v>
      </c>
      <c r="AM3" s="5" t="s">
        <v>224</v>
      </c>
      <c r="AN3" s="5" t="s">
        <v>224</v>
      </c>
      <c r="AO3" s="5" t="s">
        <v>224</v>
      </c>
      <c r="AP3" s="5" t="s">
        <v>224</v>
      </c>
      <c r="AQ3" s="5" t="s">
        <v>224</v>
      </c>
      <c r="AR3" s="5" t="s">
        <v>225</v>
      </c>
      <c r="AS3" s="5" t="s">
        <v>225</v>
      </c>
      <c r="AT3" s="5" t="s">
        <v>225</v>
      </c>
      <c r="AU3" s="5" t="s">
        <v>225</v>
      </c>
      <c r="AV3" s="5" t="s">
        <v>225</v>
      </c>
      <c r="AW3" s="5" t="s">
        <v>225</v>
      </c>
      <c r="AX3" s="5" t="s">
        <v>225</v>
      </c>
      <c r="AY3" s="5" t="s">
        <v>226</v>
      </c>
      <c r="AZ3" s="5" t="s">
        <v>226</v>
      </c>
      <c r="BA3" s="5" t="s">
        <v>226</v>
      </c>
      <c r="BB3" s="5" t="s">
        <v>226</v>
      </c>
      <c r="BC3" s="5" t="s">
        <v>226</v>
      </c>
      <c r="BD3" s="5" t="s">
        <v>226</v>
      </c>
      <c r="BE3" s="5" t="s">
        <v>226</v>
      </c>
      <c r="BF3" s="5" t="s">
        <v>227</v>
      </c>
      <c r="BG3" s="5" t="s">
        <v>227</v>
      </c>
      <c r="BH3" s="5" t="s">
        <v>227</v>
      </c>
      <c r="BI3" s="5" t="s">
        <v>227</v>
      </c>
      <c r="BJ3" s="5" t="s">
        <v>227</v>
      </c>
      <c r="BK3" s="5" t="s">
        <v>227</v>
      </c>
      <c r="BL3" s="5" t="s">
        <v>474</v>
      </c>
      <c r="BM3" s="5" t="s">
        <v>473</v>
      </c>
      <c r="BN3" s="5" t="s">
        <v>473</v>
      </c>
      <c r="BO3" s="5" t="s">
        <v>473</v>
      </c>
      <c r="BP3" s="5" t="s">
        <v>473</v>
      </c>
      <c r="BQ3" s="5" t="s">
        <v>473</v>
      </c>
      <c r="BR3" s="5" t="s">
        <v>473</v>
      </c>
      <c r="BS3" s="5" t="s">
        <v>473</v>
      </c>
      <c r="BT3" s="5" t="s">
        <v>473</v>
      </c>
      <c r="BU3" s="5" t="s">
        <v>473</v>
      </c>
      <c r="BV3" s="5" t="s">
        <v>473</v>
      </c>
      <c r="BW3" s="5" t="s">
        <v>473</v>
      </c>
      <c r="BX3" s="5" t="s">
        <v>473</v>
      </c>
      <c r="BY3" s="5" t="s">
        <v>473</v>
      </c>
      <c r="BZ3" s="5" t="s">
        <v>473</v>
      </c>
      <c r="CA3" s="5" t="s">
        <v>473</v>
      </c>
      <c r="CB3" s="5" t="s">
        <v>473</v>
      </c>
      <c r="CC3" s="5" t="s">
        <v>472</v>
      </c>
      <c r="CD3" s="5" t="s">
        <v>472</v>
      </c>
      <c r="CE3" s="5" t="s">
        <v>472</v>
      </c>
      <c r="CF3" s="5" t="s">
        <v>472</v>
      </c>
      <c r="CG3" s="5" t="s">
        <v>472</v>
      </c>
      <c r="CH3" s="5" t="s">
        <v>472</v>
      </c>
      <c r="CI3" s="5" t="s">
        <v>472</v>
      </c>
      <c r="CJ3" s="5" t="s">
        <v>484</v>
      </c>
      <c r="CK3" s="5" t="s">
        <v>484</v>
      </c>
      <c r="CL3" s="5" t="s">
        <v>484</v>
      </c>
      <c r="CM3" s="5" t="s">
        <v>484</v>
      </c>
      <c r="CN3" s="5" t="s">
        <v>484</v>
      </c>
      <c r="CO3" s="5" t="s">
        <v>484</v>
      </c>
      <c r="CP3" s="5" t="s">
        <v>483</v>
      </c>
      <c r="CQ3" s="5" t="s">
        <v>483</v>
      </c>
      <c r="CR3" s="5" t="s">
        <v>483</v>
      </c>
      <c r="CS3" s="5" t="s">
        <v>483</v>
      </c>
      <c r="CT3" s="5" t="s">
        <v>483</v>
      </c>
      <c r="CU3" s="5" t="s">
        <v>483</v>
      </c>
      <c r="CV3" s="5" t="s">
        <v>482</v>
      </c>
      <c r="CW3" s="5" t="s">
        <v>482</v>
      </c>
      <c r="CX3" s="5" t="s">
        <v>482</v>
      </c>
      <c r="CY3" s="5" t="s">
        <v>482</v>
      </c>
      <c r="CZ3" s="5" t="s">
        <v>482</v>
      </c>
      <c r="DA3" s="5" t="s">
        <v>482</v>
      </c>
      <c r="DB3" s="5" t="s">
        <v>482</v>
      </c>
      <c r="DC3" s="5" t="s">
        <v>482</v>
      </c>
      <c r="DD3" s="5" t="s">
        <v>482</v>
      </c>
      <c r="DE3" s="5" t="s">
        <v>482</v>
      </c>
      <c r="DF3" s="5" t="s">
        <v>481</v>
      </c>
      <c r="DG3" s="5" t="s">
        <v>481</v>
      </c>
      <c r="DH3" s="5" t="s">
        <v>481</v>
      </c>
      <c r="DI3" s="5" t="s">
        <v>481</v>
      </c>
      <c r="DJ3" s="5" t="s">
        <v>481</v>
      </c>
      <c r="DK3" s="5" t="s">
        <v>481</v>
      </c>
      <c r="DL3" s="5" t="s">
        <v>481</v>
      </c>
      <c r="DM3" s="5" t="s">
        <v>481</v>
      </c>
      <c r="DN3" s="5" t="s">
        <v>481</v>
      </c>
      <c r="DO3" s="5" t="s">
        <v>481</v>
      </c>
      <c r="DP3" s="5" t="s">
        <v>480</v>
      </c>
      <c r="DQ3" s="5" t="s">
        <v>480</v>
      </c>
      <c r="DR3" s="5" t="s">
        <v>479</v>
      </c>
      <c r="DS3" s="5" t="s">
        <v>479</v>
      </c>
      <c r="DT3" s="5" t="s">
        <v>477</v>
      </c>
      <c r="DU3" s="5" t="s">
        <v>477</v>
      </c>
      <c r="DV3" s="5" t="s">
        <v>477</v>
      </c>
      <c r="DW3" s="5" t="s">
        <v>478</v>
      </c>
      <c r="DX3" s="5" t="s">
        <v>478</v>
      </c>
      <c r="DY3" s="5" t="s">
        <v>478</v>
      </c>
      <c r="DZ3" s="5" t="s">
        <v>478</v>
      </c>
      <c r="EA3" s="5" t="s">
        <v>228</v>
      </c>
      <c r="EB3" s="5" t="s">
        <v>476</v>
      </c>
      <c r="EC3" s="5" t="s">
        <v>476</v>
      </c>
      <c r="ED3" s="5" t="s">
        <v>476</v>
      </c>
      <c r="EE3" s="5" t="s">
        <v>476</v>
      </c>
      <c r="EF3" s="5" t="s">
        <v>476</v>
      </c>
      <c r="EG3" s="5" t="s">
        <v>476</v>
      </c>
      <c r="EH3" s="5" t="s">
        <v>476</v>
      </c>
      <c r="EI3" s="5" t="s">
        <v>476</v>
      </c>
      <c r="EJ3" s="5" t="s">
        <v>476</v>
      </c>
      <c r="EK3" s="5" t="s">
        <v>475</v>
      </c>
      <c r="EL3" s="5" t="s">
        <v>475</v>
      </c>
      <c r="EM3" s="5" t="s">
        <v>475</v>
      </c>
      <c r="EN3" s="5" t="s">
        <v>475</v>
      </c>
      <c r="EO3" s="5" t="s">
        <v>475</v>
      </c>
      <c r="EP3" s="5" t="s">
        <v>475</v>
      </c>
      <c r="EQ3" s="5" t="s">
        <v>475</v>
      </c>
      <c r="ER3" s="5" t="s">
        <v>475</v>
      </c>
      <c r="ES3" s="5" t="s">
        <v>475</v>
      </c>
      <c r="ET3" s="5" t="s">
        <v>229</v>
      </c>
      <c r="EU3" s="5" t="s">
        <v>229</v>
      </c>
      <c r="EV3" s="5" t="s">
        <v>229</v>
      </c>
      <c r="EW3" s="5" t="s">
        <v>229</v>
      </c>
      <c r="EX3" s="5" t="s">
        <v>229</v>
      </c>
      <c r="EY3" s="5" t="s">
        <v>229</v>
      </c>
      <c r="EZ3" s="5" t="s">
        <v>230</v>
      </c>
      <c r="FA3" s="5" t="s">
        <v>230</v>
      </c>
      <c r="FB3" s="5" t="s">
        <v>230</v>
      </c>
      <c r="FC3" s="5" t="s">
        <v>231</v>
      </c>
      <c r="FD3" s="5" t="s">
        <v>231</v>
      </c>
      <c r="FE3" s="5" t="s">
        <v>231</v>
      </c>
      <c r="FF3" s="5" t="s">
        <v>486</v>
      </c>
      <c r="FG3" s="5" t="s">
        <v>486</v>
      </c>
      <c r="FH3" s="5" t="s">
        <v>486</v>
      </c>
      <c r="FI3" s="5" t="s">
        <v>486</v>
      </c>
      <c r="FJ3" s="5" t="s">
        <v>486</v>
      </c>
      <c r="FK3" s="5" t="s">
        <v>487</v>
      </c>
      <c r="FL3" s="5" t="s">
        <v>487</v>
      </c>
      <c r="FM3" s="5" t="s">
        <v>487</v>
      </c>
      <c r="FN3" s="5" t="s">
        <v>487</v>
      </c>
      <c r="FO3" s="5" t="s">
        <v>487</v>
      </c>
      <c r="FP3" s="5" t="s">
        <v>487</v>
      </c>
      <c r="FQ3" s="5" t="s">
        <v>487</v>
      </c>
      <c r="FR3" s="5" t="s">
        <v>487</v>
      </c>
      <c r="FS3" s="5" t="s">
        <v>488</v>
      </c>
      <c r="FT3" s="5" t="s">
        <v>232</v>
      </c>
      <c r="FU3" s="5" t="s">
        <v>232</v>
      </c>
      <c r="FV3" s="5" t="s">
        <v>232</v>
      </c>
      <c r="FW3" s="5" t="s">
        <v>232</v>
      </c>
      <c r="FX3" s="5" t="s">
        <v>233</v>
      </c>
      <c r="FY3" s="5" t="s">
        <v>233</v>
      </c>
      <c r="FZ3" s="5" t="s">
        <v>233</v>
      </c>
      <c r="GA3" s="5" t="s">
        <v>233</v>
      </c>
      <c r="GB3" s="5" t="s">
        <v>233</v>
      </c>
      <c r="GC3" s="5" t="s">
        <v>234</v>
      </c>
      <c r="GD3" s="5" t="s">
        <v>234</v>
      </c>
      <c r="GE3" s="5" t="s">
        <v>234</v>
      </c>
      <c r="GF3" s="5" t="s">
        <v>234</v>
      </c>
      <c r="GG3" s="5" t="s">
        <v>234</v>
      </c>
      <c r="GH3" s="5" t="s">
        <v>234</v>
      </c>
      <c r="GI3" s="5" t="s">
        <v>234</v>
      </c>
      <c r="GJ3" s="5" t="s">
        <v>235</v>
      </c>
      <c r="GK3" s="5" t="s">
        <v>235</v>
      </c>
      <c r="GL3" s="5"/>
    </row>
    <row r="4" spans="1:194" ht="24.6" thickBot="1" x14ac:dyDescent="0.35">
      <c r="A4" s="32" t="s">
        <v>53</v>
      </c>
      <c r="B4" s="35" t="s">
        <v>3</v>
      </c>
      <c r="C4" s="5" t="s">
        <v>5</v>
      </c>
      <c r="D4" s="36" t="s">
        <v>545</v>
      </c>
      <c r="E4" s="5" t="s">
        <v>236</v>
      </c>
      <c r="F4" s="5" t="s">
        <v>237</v>
      </c>
      <c r="G4" s="5" t="s">
        <v>238</v>
      </c>
      <c r="H4" s="5" t="s">
        <v>239</v>
      </c>
      <c r="I4" s="5" t="s">
        <v>240</v>
      </c>
      <c r="J4" s="5" t="s">
        <v>241</v>
      </c>
      <c r="K4" s="5" t="s">
        <v>242</v>
      </c>
      <c r="L4" s="5" t="s">
        <v>243</v>
      </c>
      <c r="M4" s="5" t="s">
        <v>244</v>
      </c>
      <c r="N4" s="5" t="s">
        <v>245</v>
      </c>
      <c r="O4" s="5" t="s">
        <v>246</v>
      </c>
      <c r="P4" s="5" t="s">
        <v>247</v>
      </c>
      <c r="Q4" s="5" t="s">
        <v>248</v>
      </c>
      <c r="R4" s="5" t="s">
        <v>249</v>
      </c>
      <c r="S4" s="5" t="s">
        <v>250</v>
      </c>
      <c r="T4" s="5" t="s">
        <v>251</v>
      </c>
      <c r="U4" s="5" t="s">
        <v>252</v>
      </c>
      <c r="V4" s="5" t="s">
        <v>253</v>
      </c>
      <c r="W4" s="5" t="s">
        <v>254</v>
      </c>
      <c r="X4" s="5" t="s">
        <v>255</v>
      </c>
      <c r="Y4" s="5" t="s">
        <v>256</v>
      </c>
      <c r="Z4" s="5" t="s">
        <v>257</v>
      </c>
      <c r="AA4" s="5" t="s">
        <v>258</v>
      </c>
      <c r="AB4" s="5" t="s">
        <v>259</v>
      </c>
      <c r="AC4" s="5" t="s">
        <v>260</v>
      </c>
      <c r="AD4" s="5" t="s">
        <v>261</v>
      </c>
      <c r="AE4" s="5" t="s">
        <v>262</v>
      </c>
      <c r="AF4" s="5" t="s">
        <v>263</v>
      </c>
      <c r="AG4" s="5" t="s">
        <v>264</v>
      </c>
      <c r="AH4" s="5" t="s">
        <v>265</v>
      </c>
      <c r="AI4" s="5" t="s">
        <v>266</v>
      </c>
      <c r="AJ4" s="5" t="s">
        <v>267</v>
      </c>
      <c r="AK4" s="5" t="s">
        <v>268</v>
      </c>
      <c r="AL4" s="5" t="s">
        <v>269</v>
      </c>
      <c r="AM4" s="5" t="s">
        <v>270</v>
      </c>
      <c r="AN4" s="5" t="s">
        <v>271</v>
      </c>
      <c r="AO4" s="5" t="s">
        <v>272</v>
      </c>
      <c r="AP4" s="5" t="s">
        <v>273</v>
      </c>
      <c r="AQ4" s="5" t="s">
        <v>274</v>
      </c>
      <c r="AR4" s="5" t="s">
        <v>275</v>
      </c>
      <c r="AS4" s="5" t="s">
        <v>276</v>
      </c>
      <c r="AT4" s="5" t="s">
        <v>277</v>
      </c>
      <c r="AU4" s="5" t="s">
        <v>618</v>
      </c>
      <c r="AV4" s="5" t="s">
        <v>619</v>
      </c>
      <c r="AW4" s="5" t="s">
        <v>620</v>
      </c>
      <c r="AX4" s="5" t="s">
        <v>621</v>
      </c>
      <c r="AY4" s="5" t="s">
        <v>278</v>
      </c>
      <c r="AZ4" s="5" t="s">
        <v>279</v>
      </c>
      <c r="BA4" s="5" t="s">
        <v>280</v>
      </c>
      <c r="BB4" s="5" t="s">
        <v>281</v>
      </c>
      <c r="BC4" s="5" t="s">
        <v>282</v>
      </c>
      <c r="BD4" s="5" t="s">
        <v>283</v>
      </c>
      <c r="BE4" s="5" t="s">
        <v>284</v>
      </c>
      <c r="BF4" s="5" t="s">
        <v>285</v>
      </c>
      <c r="BG4" s="5" t="s">
        <v>286</v>
      </c>
      <c r="BH4" s="5" t="s">
        <v>287</v>
      </c>
      <c r="BI4" s="5" t="s">
        <v>288</v>
      </c>
      <c r="BJ4" s="5" t="s">
        <v>289</v>
      </c>
      <c r="BK4" s="5" t="s">
        <v>290</v>
      </c>
      <c r="BL4" s="5" t="s">
        <v>291</v>
      </c>
      <c r="BM4" s="5" t="s">
        <v>245</v>
      </c>
      <c r="BN4" s="5" t="s">
        <v>246</v>
      </c>
      <c r="BO4" s="5" t="s">
        <v>247</v>
      </c>
      <c r="BP4" s="5" t="s">
        <v>248</v>
      </c>
      <c r="BQ4" s="5" t="s">
        <v>249</v>
      </c>
      <c r="BR4" s="5" t="s">
        <v>250</v>
      </c>
      <c r="BS4" s="5" t="s">
        <v>492</v>
      </c>
      <c r="BT4" s="5" t="s">
        <v>292</v>
      </c>
      <c r="BU4" s="5" t="s">
        <v>293</v>
      </c>
      <c r="BV4" s="5" t="s">
        <v>285</v>
      </c>
      <c r="BW4" s="5" t="s">
        <v>286</v>
      </c>
      <c r="BX4" s="5" t="s">
        <v>287</v>
      </c>
      <c r="BY4" s="5" t="s">
        <v>288</v>
      </c>
      <c r="BZ4" s="5" t="s">
        <v>289</v>
      </c>
      <c r="CA4" s="5" t="s">
        <v>290</v>
      </c>
      <c r="CB4" s="5" t="s">
        <v>291</v>
      </c>
      <c r="CC4" s="5" t="s">
        <v>278</v>
      </c>
      <c r="CD4" s="5" t="s">
        <v>279</v>
      </c>
      <c r="CE4" s="5" t="s">
        <v>280</v>
      </c>
      <c r="CF4" s="5" t="s">
        <v>493</v>
      </c>
      <c r="CG4" s="5" t="s">
        <v>494</v>
      </c>
      <c r="CH4" s="5" t="s">
        <v>495</v>
      </c>
      <c r="CI4" s="5" t="s">
        <v>496</v>
      </c>
      <c r="CJ4" s="5" t="s">
        <v>306</v>
      </c>
      <c r="CK4" s="5" t="s">
        <v>307</v>
      </c>
      <c r="CL4" s="5" t="s">
        <v>308</v>
      </c>
      <c r="CM4" s="5" t="s">
        <v>309</v>
      </c>
      <c r="CN4" s="5" t="s">
        <v>310</v>
      </c>
      <c r="CO4" s="5" t="s">
        <v>311</v>
      </c>
      <c r="CP4" s="5" t="s">
        <v>312</v>
      </c>
      <c r="CQ4" s="5" t="s">
        <v>313</v>
      </c>
      <c r="CR4" s="5" t="s">
        <v>314</v>
      </c>
      <c r="CS4" s="5" t="s">
        <v>315</v>
      </c>
      <c r="CT4" s="5" t="s">
        <v>316</v>
      </c>
      <c r="CU4" s="5" t="s">
        <v>317</v>
      </c>
      <c r="CV4" s="5" t="s">
        <v>318</v>
      </c>
      <c r="CW4" s="5" t="s">
        <v>319</v>
      </c>
      <c r="CX4" s="5" t="s">
        <v>320</v>
      </c>
      <c r="CY4" s="5" t="s">
        <v>321</v>
      </c>
      <c r="CZ4" s="5" t="s">
        <v>322</v>
      </c>
      <c r="DA4" s="5" t="s">
        <v>323</v>
      </c>
      <c r="DB4" s="5" t="s">
        <v>5</v>
      </c>
      <c r="DC4" s="5" t="s">
        <v>324</v>
      </c>
      <c r="DD4" s="5" t="s">
        <v>325</v>
      </c>
      <c r="DE4" s="5" t="s">
        <v>326</v>
      </c>
      <c r="DF4" s="5" t="s">
        <v>327</v>
      </c>
      <c r="DG4" s="5" t="s">
        <v>328</v>
      </c>
      <c r="DH4" s="5" t="s">
        <v>329</v>
      </c>
      <c r="DI4" s="5" t="s">
        <v>330</v>
      </c>
      <c r="DJ4" s="5" t="s">
        <v>331</v>
      </c>
      <c r="DK4" s="5" t="s">
        <v>332</v>
      </c>
      <c r="DL4" s="5" t="s">
        <v>333</v>
      </c>
      <c r="DM4" s="5" t="s">
        <v>334</v>
      </c>
      <c r="DN4" s="5" t="s">
        <v>335</v>
      </c>
      <c r="DO4" s="5" t="s">
        <v>336</v>
      </c>
      <c r="DP4" s="5" t="s">
        <v>523</v>
      </c>
      <c r="DQ4" s="5" t="s">
        <v>337</v>
      </c>
      <c r="DR4" s="5" t="s">
        <v>338</v>
      </c>
      <c r="DS4" s="5" t="s">
        <v>339</v>
      </c>
      <c r="DT4" s="5" t="s">
        <v>340</v>
      </c>
      <c r="DU4" s="5" t="s">
        <v>341</v>
      </c>
      <c r="DV4" s="5" t="s">
        <v>342</v>
      </c>
      <c r="DW4" s="5" t="s">
        <v>343</v>
      </c>
      <c r="DX4" s="5" t="s">
        <v>344</v>
      </c>
      <c r="DY4" s="5" t="s">
        <v>345</v>
      </c>
      <c r="DZ4" s="5" t="s">
        <v>346</v>
      </c>
      <c r="EA4" s="5" t="s">
        <v>347</v>
      </c>
      <c r="EB4" s="5" t="s">
        <v>348</v>
      </c>
      <c r="EC4" s="5" t="s">
        <v>349</v>
      </c>
      <c r="ED4" s="5" t="s">
        <v>350</v>
      </c>
      <c r="EE4" s="5" t="s">
        <v>351</v>
      </c>
      <c r="EF4" s="5" t="s">
        <v>352</v>
      </c>
      <c r="EG4" s="5" t="s">
        <v>353</v>
      </c>
      <c r="EH4" s="5" t="s">
        <v>354</v>
      </c>
      <c r="EI4" s="5" t="s">
        <v>355</v>
      </c>
      <c r="EJ4" s="5" t="s">
        <v>356</v>
      </c>
      <c r="EK4" s="5" t="s">
        <v>357</v>
      </c>
      <c r="EL4" s="5" t="s">
        <v>358</v>
      </c>
      <c r="EM4" s="5" t="s">
        <v>359</v>
      </c>
      <c r="EN4" s="5" t="s">
        <v>360</v>
      </c>
      <c r="EO4" s="5" t="s">
        <v>361</v>
      </c>
      <c r="EP4" s="5" t="s">
        <v>362</v>
      </c>
      <c r="EQ4" s="5" t="s">
        <v>363</v>
      </c>
      <c r="ER4" s="5" t="s">
        <v>364</v>
      </c>
      <c r="ES4" s="5" t="s">
        <v>365</v>
      </c>
      <c r="ET4" s="5" t="s">
        <v>366</v>
      </c>
      <c r="EU4" s="5" t="s">
        <v>367</v>
      </c>
      <c r="EV4" s="5" t="s">
        <v>368</v>
      </c>
      <c r="EW4" s="5" t="s">
        <v>369</v>
      </c>
      <c r="EX4" s="5" t="s">
        <v>370</v>
      </c>
      <c r="EY4" s="5" t="s">
        <v>371</v>
      </c>
      <c r="EZ4" s="5" t="s">
        <v>372</v>
      </c>
      <c r="FA4" s="5" t="s">
        <v>373</v>
      </c>
      <c r="FB4" s="5" t="s">
        <v>374</v>
      </c>
      <c r="FC4" s="5" t="s">
        <v>375</v>
      </c>
      <c r="FD4" s="5" t="s">
        <v>376</v>
      </c>
      <c r="FE4" s="5" t="s">
        <v>377</v>
      </c>
      <c r="FF4" s="5" t="s">
        <v>378</v>
      </c>
      <c r="FG4" s="5" t="s">
        <v>379</v>
      </c>
      <c r="FH4" s="5" t="s">
        <v>380</v>
      </c>
      <c r="FI4" s="5" t="s">
        <v>381</v>
      </c>
      <c r="FJ4" s="5" t="s">
        <v>382</v>
      </c>
      <c r="FK4" s="5" t="s">
        <v>383</v>
      </c>
      <c r="FL4" s="5" t="s">
        <v>384</v>
      </c>
      <c r="FM4" s="5" t="s">
        <v>385</v>
      </c>
      <c r="FN4" s="5" t="s">
        <v>386</v>
      </c>
      <c r="FO4" s="5" t="s">
        <v>387</v>
      </c>
      <c r="FP4" s="5" t="s">
        <v>388</v>
      </c>
      <c r="FQ4" s="5" t="s">
        <v>389</v>
      </c>
      <c r="FR4" s="5" t="s">
        <v>390</v>
      </c>
      <c r="FS4" s="5" t="s">
        <v>391</v>
      </c>
      <c r="FT4" s="5" t="s">
        <v>392</v>
      </c>
      <c r="FU4" s="5" t="s">
        <v>393</v>
      </c>
      <c r="FV4" s="5" t="s">
        <v>394</v>
      </c>
      <c r="FW4" s="5" t="s">
        <v>395</v>
      </c>
      <c r="FX4" s="5" t="s">
        <v>396</v>
      </c>
      <c r="FY4" s="5" t="s">
        <v>397</v>
      </c>
      <c r="FZ4" s="5" t="s">
        <v>398</v>
      </c>
      <c r="GA4" s="5" t="s">
        <v>399</v>
      </c>
      <c r="GB4" s="5" t="s">
        <v>400</v>
      </c>
      <c r="GC4" s="5" t="s">
        <v>401</v>
      </c>
      <c r="GD4" s="5" t="s">
        <v>402</v>
      </c>
      <c r="GE4" s="5" t="s">
        <v>403</v>
      </c>
      <c r="GF4" s="5" t="s">
        <v>404</v>
      </c>
      <c r="GG4" s="5" t="s">
        <v>405</v>
      </c>
      <c r="GH4" s="5" t="s">
        <v>406</v>
      </c>
      <c r="GI4" s="5" t="s">
        <v>407</v>
      </c>
      <c r="GJ4" s="5" t="s">
        <v>408</v>
      </c>
      <c r="GK4" s="5" t="s">
        <v>409</v>
      </c>
      <c r="GL4" s="5"/>
    </row>
    <row r="5" spans="1:194" ht="16.2" thickBot="1" x14ac:dyDescent="0.35">
      <c r="A5" s="32" t="s">
        <v>46</v>
      </c>
      <c r="B5" s="35" t="s">
        <v>6</v>
      </c>
      <c r="C5" s="5">
        <v>9</v>
      </c>
      <c r="D5" s="36" t="s">
        <v>546</v>
      </c>
      <c r="E5" s="20">
        <v>2.2000000000000002</v>
      </c>
      <c r="F5" s="20">
        <v>2.8</v>
      </c>
      <c r="G5" s="20">
        <v>3.5</v>
      </c>
      <c r="H5" s="20">
        <v>4.0999999999999996</v>
      </c>
      <c r="I5" s="20">
        <v>5</v>
      </c>
      <c r="J5" s="20">
        <v>6</v>
      </c>
      <c r="K5" s="20">
        <v>7.2</v>
      </c>
      <c r="L5" s="20">
        <v>8</v>
      </c>
      <c r="M5" s="20">
        <v>8.6999999999999993</v>
      </c>
      <c r="N5" s="20">
        <v>2.2000000000000002</v>
      </c>
      <c r="O5" s="20">
        <v>2.8</v>
      </c>
      <c r="P5" s="20">
        <v>3.5</v>
      </c>
      <c r="Q5" s="20">
        <v>4.0999999999999996</v>
      </c>
      <c r="R5" s="20">
        <v>5</v>
      </c>
      <c r="S5" s="20">
        <v>6.3</v>
      </c>
      <c r="T5" s="20">
        <v>7.2</v>
      </c>
      <c r="U5" s="20">
        <v>2.2000000000000002</v>
      </c>
      <c r="V5" s="20">
        <v>2.8</v>
      </c>
      <c r="W5" s="20">
        <v>3.5</v>
      </c>
      <c r="X5" s="20">
        <v>4.0999999999999996</v>
      </c>
      <c r="Y5" s="20">
        <v>5</v>
      </c>
      <c r="Z5" s="20">
        <v>6</v>
      </c>
      <c r="AA5" s="20">
        <v>7.2</v>
      </c>
      <c r="AB5" s="20">
        <v>8</v>
      </c>
      <c r="AC5" s="20">
        <v>8.6999999999999993</v>
      </c>
      <c r="AD5" s="20">
        <v>2.2000000000000002</v>
      </c>
      <c r="AE5" s="20">
        <v>2.8</v>
      </c>
      <c r="AF5" s="20">
        <v>3.5</v>
      </c>
      <c r="AG5" s="20">
        <v>4.0999999999999996</v>
      </c>
      <c r="AH5" s="20">
        <v>5</v>
      </c>
      <c r="AI5" s="20">
        <v>6</v>
      </c>
      <c r="AJ5" s="20">
        <v>7.2</v>
      </c>
      <c r="AK5" s="20">
        <v>2.2000000000000002</v>
      </c>
      <c r="AL5" s="20">
        <v>2.8</v>
      </c>
      <c r="AM5" s="20">
        <v>3.5</v>
      </c>
      <c r="AN5" s="20">
        <v>4.0999999999999996</v>
      </c>
      <c r="AO5" s="20">
        <v>5</v>
      </c>
      <c r="AP5" s="20">
        <v>6</v>
      </c>
      <c r="AQ5" s="20">
        <v>7.2</v>
      </c>
      <c r="AR5" s="20">
        <v>2.2000000000000002</v>
      </c>
      <c r="AS5" s="20">
        <v>2.5</v>
      </c>
      <c r="AT5" s="20">
        <v>3</v>
      </c>
      <c r="AU5" s="20">
        <v>4</v>
      </c>
      <c r="AV5" s="20">
        <v>5</v>
      </c>
      <c r="AW5" s="20">
        <v>6</v>
      </c>
      <c r="AX5" s="20">
        <v>7.2</v>
      </c>
      <c r="AY5" s="20">
        <v>2.2000000000000002</v>
      </c>
      <c r="AZ5" s="20">
        <v>2.5</v>
      </c>
      <c r="BA5" s="20">
        <v>3</v>
      </c>
      <c r="BB5" s="20">
        <v>4.0999999999999996</v>
      </c>
      <c r="BC5" s="20">
        <v>5</v>
      </c>
      <c r="BD5" s="20">
        <v>6</v>
      </c>
      <c r="BE5" s="20">
        <v>7.2</v>
      </c>
      <c r="BF5" s="20">
        <v>2.2000000000000002</v>
      </c>
      <c r="BG5" s="20">
        <v>2.8</v>
      </c>
      <c r="BH5" s="20">
        <v>3.5</v>
      </c>
      <c r="BI5" s="20">
        <v>4.0999999999999996</v>
      </c>
      <c r="BJ5" s="20">
        <v>5</v>
      </c>
      <c r="BK5" s="20">
        <v>6</v>
      </c>
      <c r="BL5" s="20">
        <v>7.2</v>
      </c>
      <c r="BM5" s="20">
        <v>2.2000000000000002</v>
      </c>
      <c r="BN5" s="20">
        <v>2.8</v>
      </c>
      <c r="BO5" s="20">
        <v>3.6</v>
      </c>
      <c r="BP5" s="20">
        <v>4.0999999999999996</v>
      </c>
      <c r="BQ5" s="20">
        <v>5</v>
      </c>
      <c r="BR5" s="20">
        <v>6</v>
      </c>
      <c r="BS5" s="20">
        <v>7.1</v>
      </c>
      <c r="BT5" s="20">
        <v>8</v>
      </c>
      <c r="BU5" s="20">
        <v>9</v>
      </c>
      <c r="BV5" s="20">
        <v>2.2000000000000002</v>
      </c>
      <c r="BW5" s="20">
        <v>2.8</v>
      </c>
      <c r="BX5" s="20">
        <v>3.6</v>
      </c>
      <c r="BY5" s="20">
        <v>4.0999999999999996</v>
      </c>
      <c r="BZ5" s="20">
        <v>5</v>
      </c>
      <c r="CA5" s="20">
        <v>6</v>
      </c>
      <c r="CB5" s="20">
        <v>7.1</v>
      </c>
      <c r="CC5" s="20">
        <v>2.2000000000000002</v>
      </c>
      <c r="CD5" s="20">
        <v>2.5</v>
      </c>
      <c r="CE5" s="20">
        <v>3</v>
      </c>
      <c r="CF5" s="20">
        <v>4.0999999999999996</v>
      </c>
      <c r="CG5" s="20">
        <v>5</v>
      </c>
      <c r="CH5" s="20">
        <v>6</v>
      </c>
      <c r="CI5" s="20">
        <v>7.2</v>
      </c>
      <c r="CJ5" s="20">
        <v>2.2000000000000002</v>
      </c>
      <c r="CK5" s="20">
        <v>2.8</v>
      </c>
      <c r="CL5" s="20">
        <v>3.6</v>
      </c>
      <c r="CM5" s="20">
        <v>4.5</v>
      </c>
      <c r="CN5" s="20">
        <v>5.6</v>
      </c>
      <c r="CO5" s="20">
        <v>7.1</v>
      </c>
      <c r="CP5" s="20">
        <v>2.2000000000000002</v>
      </c>
      <c r="CQ5" s="20">
        <v>2.8</v>
      </c>
      <c r="CR5" s="20">
        <v>3.6</v>
      </c>
      <c r="CS5" s="20">
        <v>4.5</v>
      </c>
      <c r="CT5" s="20">
        <v>5.6</v>
      </c>
      <c r="CU5" s="20">
        <v>7.1</v>
      </c>
      <c r="CV5" s="20">
        <v>2.2000000000000002</v>
      </c>
      <c r="CW5" s="20">
        <v>2.8</v>
      </c>
      <c r="CX5" s="20">
        <v>3.6</v>
      </c>
      <c r="CY5" s="20">
        <v>4.5</v>
      </c>
      <c r="CZ5" s="20">
        <v>5.6</v>
      </c>
      <c r="DA5" s="20">
        <v>7.1</v>
      </c>
      <c r="DB5" s="20">
        <v>9</v>
      </c>
      <c r="DC5" s="20">
        <v>11.2</v>
      </c>
      <c r="DD5" s="20">
        <v>14</v>
      </c>
      <c r="DE5" s="20">
        <v>16</v>
      </c>
      <c r="DF5" s="20">
        <v>2.2000000000000002</v>
      </c>
      <c r="DG5" s="20">
        <v>2.8</v>
      </c>
      <c r="DH5" s="20">
        <v>3.6</v>
      </c>
      <c r="DI5" s="20">
        <v>4.5</v>
      </c>
      <c r="DJ5" s="20">
        <v>5.6</v>
      </c>
      <c r="DK5" s="20">
        <v>7.1</v>
      </c>
      <c r="DL5" s="20">
        <v>9</v>
      </c>
      <c r="DM5" s="20">
        <v>11.2</v>
      </c>
      <c r="DN5" s="20">
        <v>14</v>
      </c>
      <c r="DO5" s="20">
        <v>16</v>
      </c>
      <c r="DP5" s="20">
        <v>22.4</v>
      </c>
      <c r="DQ5" s="20">
        <v>28</v>
      </c>
      <c r="DR5" s="20">
        <v>22.4</v>
      </c>
      <c r="DS5" s="20">
        <v>28</v>
      </c>
      <c r="DT5" s="20">
        <v>14</v>
      </c>
      <c r="DU5" s="20">
        <v>22.4</v>
      </c>
      <c r="DV5" s="20">
        <v>28</v>
      </c>
      <c r="DW5" s="20">
        <v>9</v>
      </c>
      <c r="DX5" s="20">
        <v>16</v>
      </c>
      <c r="DY5" s="20">
        <v>22.4</v>
      </c>
      <c r="DZ5" s="20">
        <v>28</v>
      </c>
      <c r="EA5" s="20">
        <v>2.8</v>
      </c>
      <c r="EB5" s="20">
        <v>2.8</v>
      </c>
      <c r="EC5" s="20">
        <v>3.6</v>
      </c>
      <c r="ED5" s="20">
        <v>4.5</v>
      </c>
      <c r="EE5" s="20">
        <v>5.6</v>
      </c>
      <c r="EF5" s="20">
        <v>7.1</v>
      </c>
      <c r="EG5" s="20">
        <v>9</v>
      </c>
      <c r="EH5" s="20">
        <v>11.2</v>
      </c>
      <c r="EI5" s="20">
        <v>14</v>
      </c>
      <c r="EJ5" s="20">
        <v>16</v>
      </c>
      <c r="EK5" s="20">
        <v>2.8</v>
      </c>
      <c r="EL5" s="20">
        <v>3.6</v>
      </c>
      <c r="EM5" s="20">
        <v>4.5</v>
      </c>
      <c r="EN5" s="20">
        <v>5.6</v>
      </c>
      <c r="EO5" s="20">
        <v>7.1</v>
      </c>
      <c r="EP5" s="20">
        <v>9</v>
      </c>
      <c r="EQ5" s="20">
        <v>11.2</v>
      </c>
      <c r="ER5" s="20">
        <v>14</v>
      </c>
      <c r="ES5" s="20">
        <v>16</v>
      </c>
      <c r="ET5" s="20">
        <v>2.2000000000000002</v>
      </c>
      <c r="EU5" s="20">
        <v>2.8</v>
      </c>
      <c r="EV5" s="20">
        <v>3.6</v>
      </c>
      <c r="EW5" s="20">
        <v>4.5</v>
      </c>
      <c r="EX5" s="20">
        <v>5.6</v>
      </c>
      <c r="EY5" s="20">
        <v>7.1</v>
      </c>
      <c r="EZ5" s="20">
        <v>3.6</v>
      </c>
      <c r="FA5" s="20">
        <v>7.1</v>
      </c>
      <c r="FB5" s="20">
        <v>11.2</v>
      </c>
      <c r="FC5" s="20">
        <v>28</v>
      </c>
      <c r="FD5" s="20">
        <v>45</v>
      </c>
      <c r="FE5" s="20">
        <v>56</v>
      </c>
      <c r="FF5" s="20">
        <v>2.2000000000000002</v>
      </c>
      <c r="FG5" s="20">
        <v>2.8</v>
      </c>
      <c r="FH5" s="20">
        <v>3.6</v>
      </c>
      <c r="FI5" s="20">
        <v>4.5</v>
      </c>
      <c r="FJ5" s="20">
        <v>5.6</v>
      </c>
      <c r="FK5" s="20">
        <v>2.2000000000000002</v>
      </c>
      <c r="FL5" s="20">
        <v>2.8</v>
      </c>
      <c r="FM5" s="20">
        <v>3.6</v>
      </c>
      <c r="FN5" s="20">
        <v>4.5</v>
      </c>
      <c r="FO5" s="20">
        <v>5.6</v>
      </c>
      <c r="FP5" s="20">
        <v>7.1</v>
      </c>
      <c r="FQ5" s="20">
        <v>9</v>
      </c>
      <c r="FR5" s="20">
        <v>14</v>
      </c>
      <c r="FS5" s="20">
        <v>2.5</v>
      </c>
      <c r="FT5" s="20">
        <v>3</v>
      </c>
      <c r="FU5" s="20">
        <v>4</v>
      </c>
      <c r="FV5" s="20">
        <v>5</v>
      </c>
      <c r="FW5" s="20">
        <v>6</v>
      </c>
      <c r="FX5" s="20">
        <v>2.5</v>
      </c>
      <c r="FY5" s="20">
        <v>3</v>
      </c>
      <c r="FZ5" s="20">
        <v>4</v>
      </c>
      <c r="GA5" s="20">
        <v>5</v>
      </c>
      <c r="GB5" s="20">
        <v>6</v>
      </c>
      <c r="GC5" s="20">
        <v>2</v>
      </c>
      <c r="GD5" s="20">
        <v>2.5</v>
      </c>
      <c r="GE5" s="20">
        <v>3</v>
      </c>
      <c r="GF5" s="20">
        <v>4</v>
      </c>
      <c r="GG5" s="20">
        <v>5</v>
      </c>
      <c r="GH5" s="20">
        <v>6</v>
      </c>
      <c r="GI5" s="20">
        <v>7</v>
      </c>
      <c r="GJ5" s="20">
        <v>2.5</v>
      </c>
      <c r="GK5" s="20">
        <v>4.0999999999999996</v>
      </c>
      <c r="GL5" s="5"/>
    </row>
    <row r="6" spans="1:194" ht="16.2" thickBot="1" x14ac:dyDescent="0.35">
      <c r="A6" s="32" t="s">
        <v>470</v>
      </c>
      <c r="B6" s="35" t="s">
        <v>7</v>
      </c>
      <c r="C6" s="5" t="s">
        <v>547</v>
      </c>
      <c r="D6" s="37" t="s">
        <v>8</v>
      </c>
      <c r="E6" s="5" t="s">
        <v>410</v>
      </c>
      <c r="F6" s="5" t="s">
        <v>410</v>
      </c>
      <c r="G6" s="5" t="s">
        <v>410</v>
      </c>
      <c r="H6" s="5" t="s">
        <v>410</v>
      </c>
      <c r="I6" s="5" t="s">
        <v>410</v>
      </c>
      <c r="J6" s="5" t="s">
        <v>410</v>
      </c>
      <c r="K6" s="5" t="s">
        <v>410</v>
      </c>
      <c r="L6" s="5" t="s">
        <v>410</v>
      </c>
      <c r="M6" s="5" t="s">
        <v>410</v>
      </c>
      <c r="N6" s="5" t="s">
        <v>410</v>
      </c>
      <c r="O6" s="5" t="s">
        <v>410</v>
      </c>
      <c r="P6" s="5" t="s">
        <v>410</v>
      </c>
      <c r="Q6" s="5" t="s">
        <v>410</v>
      </c>
      <c r="R6" s="5" t="s">
        <v>410</v>
      </c>
      <c r="S6" s="5" t="s">
        <v>410</v>
      </c>
      <c r="T6" s="5" t="s">
        <v>410</v>
      </c>
      <c r="U6" s="5" t="s">
        <v>410</v>
      </c>
      <c r="V6" s="5" t="s">
        <v>410</v>
      </c>
      <c r="W6" s="5" t="s">
        <v>410</v>
      </c>
      <c r="X6" s="5" t="s">
        <v>410</v>
      </c>
      <c r="Y6" s="5" t="s">
        <v>410</v>
      </c>
      <c r="Z6" s="5" t="s">
        <v>410</v>
      </c>
      <c r="AA6" s="5" t="s">
        <v>410</v>
      </c>
      <c r="AB6" s="5" t="s">
        <v>410</v>
      </c>
      <c r="AC6" s="5" t="s">
        <v>410</v>
      </c>
      <c r="AD6" s="5" t="s">
        <v>410</v>
      </c>
      <c r="AE6" s="5" t="s">
        <v>410</v>
      </c>
      <c r="AF6" s="5" t="s">
        <v>410</v>
      </c>
      <c r="AG6" s="5" t="s">
        <v>410</v>
      </c>
      <c r="AH6" s="5" t="s">
        <v>410</v>
      </c>
      <c r="AI6" s="5" t="s">
        <v>410</v>
      </c>
      <c r="AJ6" s="5" t="s">
        <v>410</v>
      </c>
      <c r="AK6" s="5" t="s">
        <v>410</v>
      </c>
      <c r="AL6" s="5" t="s">
        <v>410</v>
      </c>
      <c r="AM6" s="5" t="s">
        <v>410</v>
      </c>
      <c r="AN6" s="5" t="s">
        <v>410</v>
      </c>
      <c r="AO6" s="5" t="s">
        <v>410</v>
      </c>
      <c r="AP6" s="5" t="s">
        <v>410</v>
      </c>
      <c r="AQ6" s="5" t="s">
        <v>410</v>
      </c>
      <c r="AR6" s="5" t="s">
        <v>410</v>
      </c>
      <c r="AS6" s="5" t="s">
        <v>410</v>
      </c>
      <c r="AT6" s="5" t="s">
        <v>410</v>
      </c>
      <c r="AU6" s="5" t="s">
        <v>410</v>
      </c>
      <c r="AV6" s="5" t="s">
        <v>410</v>
      </c>
      <c r="AW6" s="5" t="s">
        <v>410</v>
      </c>
      <c r="AX6" s="5" t="s">
        <v>410</v>
      </c>
      <c r="AY6" s="5" t="s">
        <v>410</v>
      </c>
      <c r="AZ6" s="5" t="s">
        <v>410</v>
      </c>
      <c r="BA6" s="5" t="s">
        <v>410</v>
      </c>
      <c r="BB6" s="5" t="s">
        <v>410</v>
      </c>
      <c r="BC6" s="5" t="s">
        <v>410</v>
      </c>
      <c r="BD6" s="5" t="s">
        <v>410</v>
      </c>
      <c r="BE6" s="5" t="s">
        <v>410</v>
      </c>
      <c r="BF6" s="5" t="s">
        <v>410</v>
      </c>
      <c r="BG6" s="5" t="s">
        <v>410</v>
      </c>
      <c r="BH6" s="5" t="s">
        <v>410</v>
      </c>
      <c r="BI6" s="5" t="s">
        <v>410</v>
      </c>
      <c r="BJ6" s="5" t="s">
        <v>410</v>
      </c>
      <c r="BK6" s="5" t="s">
        <v>410</v>
      </c>
      <c r="BL6" s="5" t="s">
        <v>410</v>
      </c>
      <c r="BM6" s="5" t="s">
        <v>410</v>
      </c>
      <c r="BN6" s="5" t="s">
        <v>410</v>
      </c>
      <c r="BO6" s="5" t="s">
        <v>410</v>
      </c>
      <c r="BP6" s="5" t="s">
        <v>410</v>
      </c>
      <c r="BQ6" s="5" t="s">
        <v>410</v>
      </c>
      <c r="BR6" s="5" t="s">
        <v>410</v>
      </c>
      <c r="BS6" s="5" t="s">
        <v>410</v>
      </c>
      <c r="BT6" s="5" t="s">
        <v>410</v>
      </c>
      <c r="BU6" s="5" t="s">
        <v>410</v>
      </c>
      <c r="BV6" s="5" t="s">
        <v>410</v>
      </c>
      <c r="BW6" s="5" t="s">
        <v>410</v>
      </c>
      <c r="BX6" s="5" t="s">
        <v>410</v>
      </c>
      <c r="BY6" s="5" t="s">
        <v>410</v>
      </c>
      <c r="BZ6" s="5" t="s">
        <v>410</v>
      </c>
      <c r="CA6" s="5" t="s">
        <v>410</v>
      </c>
      <c r="CB6" s="5" t="s">
        <v>410</v>
      </c>
      <c r="CC6" s="5" t="s">
        <v>410</v>
      </c>
      <c r="CD6" s="5" t="s">
        <v>410</v>
      </c>
      <c r="CE6" s="5" t="s">
        <v>410</v>
      </c>
      <c r="CF6" s="5" t="s">
        <v>410</v>
      </c>
      <c r="CG6" s="5" t="s">
        <v>410</v>
      </c>
      <c r="CH6" s="5" t="s">
        <v>410</v>
      </c>
      <c r="CI6" s="5" t="s">
        <v>410</v>
      </c>
      <c r="CJ6" s="5">
        <v>20</v>
      </c>
      <c r="CK6" s="5">
        <v>25</v>
      </c>
      <c r="CL6" s="5">
        <v>31.25</v>
      </c>
      <c r="CM6" s="5">
        <v>40</v>
      </c>
      <c r="CN6" s="5">
        <v>50</v>
      </c>
      <c r="CO6" s="5">
        <v>62.5</v>
      </c>
      <c r="CP6" s="5">
        <v>20</v>
      </c>
      <c r="CQ6" s="5">
        <v>25</v>
      </c>
      <c r="CR6" s="5">
        <v>31.25</v>
      </c>
      <c r="CS6" s="5">
        <v>40</v>
      </c>
      <c r="CT6" s="5">
        <v>50</v>
      </c>
      <c r="CU6" s="5">
        <v>62.5</v>
      </c>
      <c r="CV6" s="5">
        <v>20</v>
      </c>
      <c r="CW6" s="5">
        <v>25</v>
      </c>
      <c r="CX6" s="5">
        <v>31.25</v>
      </c>
      <c r="CY6" s="5">
        <v>40</v>
      </c>
      <c r="CZ6" s="5">
        <v>50</v>
      </c>
      <c r="DA6" s="5">
        <v>62.5</v>
      </c>
      <c r="DB6" s="5">
        <v>80</v>
      </c>
      <c r="DC6" s="5">
        <v>100</v>
      </c>
      <c r="DD6" s="5">
        <v>125</v>
      </c>
      <c r="DE6" s="5">
        <v>140</v>
      </c>
      <c r="DF6" s="5">
        <v>20</v>
      </c>
      <c r="DG6" s="5">
        <v>25</v>
      </c>
      <c r="DH6" s="5">
        <v>31.25</v>
      </c>
      <c r="DI6" s="5">
        <v>40</v>
      </c>
      <c r="DJ6" s="5">
        <v>50</v>
      </c>
      <c r="DK6" s="5">
        <v>62.5</v>
      </c>
      <c r="DL6" s="5">
        <v>80</v>
      </c>
      <c r="DM6" s="5">
        <v>100</v>
      </c>
      <c r="DN6" s="5">
        <v>125</v>
      </c>
      <c r="DO6" s="5">
        <v>140</v>
      </c>
      <c r="DP6" s="5">
        <v>200</v>
      </c>
      <c r="DQ6" s="5">
        <v>250</v>
      </c>
      <c r="DR6" s="5">
        <v>200</v>
      </c>
      <c r="DS6" s="5">
        <v>250</v>
      </c>
      <c r="DT6" s="5">
        <v>125</v>
      </c>
      <c r="DU6" s="5">
        <v>200</v>
      </c>
      <c r="DV6" s="5">
        <v>250</v>
      </c>
      <c r="DW6" s="5">
        <v>80</v>
      </c>
      <c r="DX6" s="5">
        <v>140</v>
      </c>
      <c r="DY6" s="5">
        <v>200</v>
      </c>
      <c r="DZ6" s="5">
        <v>250</v>
      </c>
      <c r="EA6" s="5">
        <v>25</v>
      </c>
      <c r="EB6" s="5">
        <v>25</v>
      </c>
      <c r="EC6" s="5">
        <v>31.25</v>
      </c>
      <c r="ED6" s="5">
        <v>40</v>
      </c>
      <c r="EE6" s="5">
        <v>50</v>
      </c>
      <c r="EF6" s="5">
        <v>62.5</v>
      </c>
      <c r="EG6" s="5">
        <v>80</v>
      </c>
      <c r="EH6" s="5">
        <v>100</v>
      </c>
      <c r="EI6" s="5">
        <v>125</v>
      </c>
      <c r="EJ6" s="5">
        <v>140</v>
      </c>
      <c r="EK6" s="5">
        <v>25</v>
      </c>
      <c r="EL6" s="5">
        <v>31.25</v>
      </c>
      <c r="EM6" s="5">
        <v>40</v>
      </c>
      <c r="EN6" s="5">
        <v>50</v>
      </c>
      <c r="EO6" s="5">
        <v>62.5</v>
      </c>
      <c r="EP6" s="5">
        <v>80</v>
      </c>
      <c r="EQ6" s="5">
        <v>100</v>
      </c>
      <c r="ER6" s="5">
        <v>125</v>
      </c>
      <c r="ES6" s="5">
        <v>140</v>
      </c>
      <c r="ET6" s="5">
        <v>20</v>
      </c>
      <c r="EU6" s="5">
        <v>25</v>
      </c>
      <c r="EV6" s="5">
        <v>31.25</v>
      </c>
      <c r="EW6" s="5">
        <v>40</v>
      </c>
      <c r="EX6" s="5">
        <v>50</v>
      </c>
      <c r="EY6" s="5">
        <v>62.5</v>
      </c>
      <c r="EZ6" s="5">
        <v>31.25</v>
      </c>
      <c r="FA6" s="5">
        <v>62.5</v>
      </c>
      <c r="FB6" s="5">
        <v>100</v>
      </c>
      <c r="FC6" s="5">
        <v>250</v>
      </c>
      <c r="FD6" s="5">
        <v>400</v>
      </c>
      <c r="FE6" s="5">
        <v>500</v>
      </c>
      <c r="FF6" s="5">
        <v>20</v>
      </c>
      <c r="FG6" s="5">
        <v>25</v>
      </c>
      <c r="FH6" s="5">
        <v>31.25</v>
      </c>
      <c r="FI6" s="5">
        <v>40</v>
      </c>
      <c r="FJ6" s="5">
        <v>50</v>
      </c>
      <c r="FK6" s="5">
        <v>20</v>
      </c>
      <c r="FL6" s="5">
        <v>25</v>
      </c>
      <c r="FM6" s="5">
        <v>31.25</v>
      </c>
      <c r="FN6" s="5">
        <v>40</v>
      </c>
      <c r="FO6" s="5">
        <v>50</v>
      </c>
      <c r="FP6" s="5">
        <v>62.5</v>
      </c>
      <c r="FQ6" s="5">
        <v>80</v>
      </c>
      <c r="FR6" s="5">
        <v>125</v>
      </c>
      <c r="FS6" s="5">
        <v>25</v>
      </c>
      <c r="FT6" s="5">
        <v>30</v>
      </c>
      <c r="FU6" s="5">
        <v>40</v>
      </c>
      <c r="FV6" s="5">
        <v>50</v>
      </c>
      <c r="FW6" s="5">
        <v>60</v>
      </c>
      <c r="FX6" s="5">
        <v>25</v>
      </c>
      <c r="FY6" s="5">
        <v>30</v>
      </c>
      <c r="FZ6" s="5">
        <v>40</v>
      </c>
      <c r="GA6" s="5">
        <v>50</v>
      </c>
      <c r="GB6" s="5">
        <v>60</v>
      </c>
      <c r="GC6" s="5">
        <v>20</v>
      </c>
      <c r="GD6" s="5">
        <v>25</v>
      </c>
      <c r="GE6" s="5">
        <v>30</v>
      </c>
      <c r="GF6" s="5">
        <v>40</v>
      </c>
      <c r="GG6" s="5">
        <v>50</v>
      </c>
      <c r="GH6" s="5">
        <v>60</v>
      </c>
      <c r="GI6" s="5">
        <v>70</v>
      </c>
      <c r="GJ6" s="5">
        <v>25</v>
      </c>
      <c r="GK6" s="5">
        <v>40</v>
      </c>
      <c r="GL6" s="5"/>
    </row>
    <row r="7" spans="1:194" ht="24.6" thickBot="1" x14ac:dyDescent="0.35">
      <c r="A7" s="32" t="s">
        <v>471</v>
      </c>
      <c r="B7" s="35" t="s">
        <v>3</v>
      </c>
      <c r="C7" s="5" t="s">
        <v>9</v>
      </c>
      <c r="D7" s="37" t="s">
        <v>10</v>
      </c>
      <c r="E7" s="5" t="s">
        <v>411</v>
      </c>
      <c r="F7" s="5" t="s">
        <v>411</v>
      </c>
      <c r="G7" s="5" t="s">
        <v>411</v>
      </c>
      <c r="H7" s="5" t="s">
        <v>411</v>
      </c>
      <c r="I7" s="5" t="s">
        <v>411</v>
      </c>
      <c r="J7" s="5" t="s">
        <v>411</v>
      </c>
      <c r="K7" s="5" t="s">
        <v>411</v>
      </c>
      <c r="L7" s="5" t="s">
        <v>411</v>
      </c>
      <c r="M7" s="5" t="s">
        <v>411</v>
      </c>
      <c r="N7" s="5" t="s">
        <v>411</v>
      </c>
      <c r="O7" s="5" t="s">
        <v>411</v>
      </c>
      <c r="P7" s="5" t="s">
        <v>411</v>
      </c>
      <c r="Q7" s="5" t="s">
        <v>411</v>
      </c>
      <c r="R7" s="5" t="s">
        <v>411</v>
      </c>
      <c r="S7" s="5" t="s">
        <v>411</v>
      </c>
      <c r="T7" s="5" t="s">
        <v>411</v>
      </c>
      <c r="U7" s="5" t="s">
        <v>411</v>
      </c>
      <c r="V7" s="5" t="s">
        <v>411</v>
      </c>
      <c r="W7" s="5" t="s">
        <v>411</v>
      </c>
      <c r="X7" s="5" t="s">
        <v>411</v>
      </c>
      <c r="Y7" s="5" t="s">
        <v>411</v>
      </c>
      <c r="Z7" s="5" t="s">
        <v>411</v>
      </c>
      <c r="AA7" s="5" t="s">
        <v>411</v>
      </c>
      <c r="AB7" s="5" t="s">
        <v>411</v>
      </c>
      <c r="AC7" s="5" t="s">
        <v>411</v>
      </c>
      <c r="AD7" s="5" t="s">
        <v>411</v>
      </c>
      <c r="AE7" s="5" t="s">
        <v>411</v>
      </c>
      <c r="AF7" s="5" t="s">
        <v>411</v>
      </c>
      <c r="AG7" s="5" t="s">
        <v>411</v>
      </c>
      <c r="AH7" s="5" t="s">
        <v>411</v>
      </c>
      <c r="AI7" s="5" t="s">
        <v>411</v>
      </c>
      <c r="AJ7" s="5" t="s">
        <v>411</v>
      </c>
      <c r="AK7" s="5" t="s">
        <v>411</v>
      </c>
      <c r="AL7" s="5" t="s">
        <v>411</v>
      </c>
      <c r="AM7" s="5" t="s">
        <v>411</v>
      </c>
      <c r="AN7" s="5" t="s">
        <v>411</v>
      </c>
      <c r="AO7" s="5" t="s">
        <v>411</v>
      </c>
      <c r="AP7" s="5" t="s">
        <v>411</v>
      </c>
      <c r="AQ7" s="5" t="s">
        <v>411</v>
      </c>
      <c r="AR7" s="5" t="s">
        <v>411</v>
      </c>
      <c r="AS7" s="5" t="s">
        <v>411</v>
      </c>
      <c r="AT7" s="5" t="s">
        <v>411</v>
      </c>
      <c r="AU7" s="5" t="s">
        <v>411</v>
      </c>
      <c r="AV7" s="5" t="s">
        <v>411</v>
      </c>
      <c r="AW7" s="5" t="s">
        <v>411</v>
      </c>
      <c r="AX7" s="5" t="s">
        <v>411</v>
      </c>
      <c r="AY7" s="5" t="s">
        <v>411</v>
      </c>
      <c r="AZ7" s="5" t="s">
        <v>411</v>
      </c>
      <c r="BA7" s="5" t="s">
        <v>411</v>
      </c>
      <c r="BB7" s="5" t="s">
        <v>411</v>
      </c>
      <c r="BC7" s="5" t="s">
        <v>411</v>
      </c>
      <c r="BD7" s="5" t="s">
        <v>411</v>
      </c>
      <c r="BE7" s="5" t="s">
        <v>411</v>
      </c>
      <c r="BF7" s="5" t="s">
        <v>411</v>
      </c>
      <c r="BG7" s="5" t="s">
        <v>411</v>
      </c>
      <c r="BH7" s="5" t="s">
        <v>411</v>
      </c>
      <c r="BI7" s="5" t="s">
        <v>411</v>
      </c>
      <c r="BJ7" s="5" t="s">
        <v>411</v>
      </c>
      <c r="BK7" s="5" t="s">
        <v>411</v>
      </c>
      <c r="BL7" s="5" t="s">
        <v>411</v>
      </c>
      <c r="BM7" s="5" t="s">
        <v>411</v>
      </c>
      <c r="BN7" s="5" t="s">
        <v>411</v>
      </c>
      <c r="BO7" s="5" t="s">
        <v>411</v>
      </c>
      <c r="BP7" s="5" t="s">
        <v>411</v>
      </c>
      <c r="BQ7" s="5" t="s">
        <v>411</v>
      </c>
      <c r="BR7" s="5" t="s">
        <v>411</v>
      </c>
      <c r="BS7" s="5" t="s">
        <v>411</v>
      </c>
      <c r="BT7" s="5" t="s">
        <v>411</v>
      </c>
      <c r="BU7" s="5" t="s">
        <v>411</v>
      </c>
      <c r="BV7" s="5" t="s">
        <v>411</v>
      </c>
      <c r="BW7" s="5" t="s">
        <v>411</v>
      </c>
      <c r="BX7" s="5" t="s">
        <v>411</v>
      </c>
      <c r="BY7" s="5" t="s">
        <v>411</v>
      </c>
      <c r="BZ7" s="5" t="s">
        <v>411</v>
      </c>
      <c r="CA7" s="5" t="s">
        <v>411</v>
      </c>
      <c r="CB7" s="5" t="s">
        <v>411</v>
      </c>
      <c r="CC7" s="5" t="s">
        <v>411</v>
      </c>
      <c r="CD7" s="5" t="s">
        <v>411</v>
      </c>
      <c r="CE7" s="5" t="s">
        <v>411</v>
      </c>
      <c r="CF7" s="5" t="s">
        <v>411</v>
      </c>
      <c r="CG7" s="5" t="s">
        <v>411</v>
      </c>
      <c r="CH7" s="5" t="s">
        <v>411</v>
      </c>
      <c r="CI7" s="5" t="s">
        <v>411</v>
      </c>
      <c r="CJ7" s="5" t="s">
        <v>9</v>
      </c>
      <c r="CK7" s="5" t="s">
        <v>9</v>
      </c>
      <c r="CL7" s="5" t="s">
        <v>9</v>
      </c>
      <c r="CM7" s="5" t="s">
        <v>9</v>
      </c>
      <c r="CN7" s="5" t="s">
        <v>9</v>
      </c>
      <c r="CO7" s="5" t="s">
        <v>9</v>
      </c>
      <c r="CP7" s="5" t="s">
        <v>9</v>
      </c>
      <c r="CQ7" s="5" t="s">
        <v>9</v>
      </c>
      <c r="CR7" s="5" t="s">
        <v>9</v>
      </c>
      <c r="CS7" s="5" t="s">
        <v>9</v>
      </c>
      <c r="CT7" s="5" t="s">
        <v>9</v>
      </c>
      <c r="CU7" s="5" t="s">
        <v>9</v>
      </c>
      <c r="CV7" s="5" t="s">
        <v>9</v>
      </c>
      <c r="CW7" s="5" t="s">
        <v>9</v>
      </c>
      <c r="CX7" s="5" t="s">
        <v>9</v>
      </c>
      <c r="CY7" s="5" t="s">
        <v>9</v>
      </c>
      <c r="CZ7" s="5" t="s">
        <v>9</v>
      </c>
      <c r="DA7" s="5" t="s">
        <v>9</v>
      </c>
      <c r="DB7" s="5" t="s">
        <v>9</v>
      </c>
      <c r="DC7" s="5" t="s">
        <v>9</v>
      </c>
      <c r="DD7" s="5" t="s">
        <v>9</v>
      </c>
      <c r="DE7" s="5" t="s">
        <v>9</v>
      </c>
      <c r="DF7" s="5" t="s">
        <v>9</v>
      </c>
      <c r="DG7" s="5" t="s">
        <v>9</v>
      </c>
      <c r="DH7" s="5" t="s">
        <v>9</v>
      </c>
      <c r="DI7" s="5" t="s">
        <v>9</v>
      </c>
      <c r="DJ7" s="5" t="s">
        <v>9</v>
      </c>
      <c r="DK7" s="5" t="s">
        <v>9</v>
      </c>
      <c r="DL7" s="5" t="s">
        <v>9</v>
      </c>
      <c r="DM7" s="5" t="s">
        <v>9</v>
      </c>
      <c r="DN7" s="5" t="s">
        <v>9</v>
      </c>
      <c r="DO7" s="5" t="s">
        <v>9</v>
      </c>
      <c r="DP7" s="5" t="s">
        <v>9</v>
      </c>
      <c r="DQ7" s="5" t="s">
        <v>9</v>
      </c>
      <c r="DR7" s="5" t="s">
        <v>9</v>
      </c>
      <c r="DS7" s="5" t="s">
        <v>9</v>
      </c>
      <c r="DT7" s="5" t="s">
        <v>9</v>
      </c>
      <c r="DU7" s="5" t="s">
        <v>9</v>
      </c>
      <c r="DV7" s="5" t="s">
        <v>9</v>
      </c>
      <c r="DW7" s="5" t="s">
        <v>9</v>
      </c>
      <c r="DX7" s="5" t="s">
        <v>9</v>
      </c>
      <c r="DY7" s="5" t="s">
        <v>9</v>
      </c>
      <c r="DZ7" s="5" t="s">
        <v>9</v>
      </c>
      <c r="EA7" s="5" t="s">
        <v>9</v>
      </c>
      <c r="EB7" s="5" t="s">
        <v>9</v>
      </c>
      <c r="EC7" s="5" t="s">
        <v>9</v>
      </c>
      <c r="ED7" s="5" t="s">
        <v>9</v>
      </c>
      <c r="EE7" s="5" t="s">
        <v>9</v>
      </c>
      <c r="EF7" s="5" t="s">
        <v>9</v>
      </c>
      <c r="EG7" s="5" t="s">
        <v>9</v>
      </c>
      <c r="EH7" s="5" t="s">
        <v>9</v>
      </c>
      <c r="EI7" s="5" t="s">
        <v>9</v>
      </c>
      <c r="EJ7" s="5" t="s">
        <v>9</v>
      </c>
      <c r="EK7" s="5" t="s">
        <v>9</v>
      </c>
      <c r="EL7" s="5" t="s">
        <v>9</v>
      </c>
      <c r="EM7" s="5" t="s">
        <v>9</v>
      </c>
      <c r="EN7" s="5" t="s">
        <v>9</v>
      </c>
      <c r="EO7" s="5" t="s">
        <v>9</v>
      </c>
      <c r="EP7" s="5" t="s">
        <v>9</v>
      </c>
      <c r="EQ7" s="5" t="s">
        <v>9</v>
      </c>
      <c r="ER7" s="5" t="s">
        <v>9</v>
      </c>
      <c r="ES7" s="5" t="s">
        <v>9</v>
      </c>
      <c r="ET7" s="5" t="s">
        <v>9</v>
      </c>
      <c r="EU7" s="5" t="s">
        <v>9</v>
      </c>
      <c r="EV7" s="5" t="s">
        <v>9</v>
      </c>
      <c r="EW7" s="5" t="s">
        <v>9</v>
      </c>
      <c r="EX7" s="5" t="s">
        <v>9</v>
      </c>
      <c r="EY7" s="5" t="s">
        <v>9</v>
      </c>
      <c r="EZ7" s="5" t="s">
        <v>9</v>
      </c>
      <c r="FA7" s="5" t="s">
        <v>9</v>
      </c>
      <c r="FB7" s="5" t="s">
        <v>9</v>
      </c>
      <c r="FC7" s="5" t="s">
        <v>112</v>
      </c>
      <c r="FD7" s="5" t="s">
        <v>112</v>
      </c>
      <c r="FE7" s="5" t="s">
        <v>112</v>
      </c>
      <c r="FF7" s="5" t="s">
        <v>9</v>
      </c>
      <c r="FG7" s="5" t="s">
        <v>9</v>
      </c>
      <c r="FH7" s="5" t="s">
        <v>9</v>
      </c>
      <c r="FI7" s="5" t="s">
        <v>9</v>
      </c>
      <c r="FJ7" s="5" t="s">
        <v>9</v>
      </c>
      <c r="FK7" s="5" t="s">
        <v>9</v>
      </c>
      <c r="FL7" s="5" t="s">
        <v>9</v>
      </c>
      <c r="FM7" s="5" t="s">
        <v>9</v>
      </c>
      <c r="FN7" s="5" t="s">
        <v>9</v>
      </c>
      <c r="FO7" s="5" t="s">
        <v>9</v>
      </c>
      <c r="FP7" s="5" t="s">
        <v>9</v>
      </c>
      <c r="FQ7" s="5" t="s">
        <v>9</v>
      </c>
      <c r="FR7" s="5" t="s">
        <v>9</v>
      </c>
      <c r="FS7" s="5" t="s">
        <v>9</v>
      </c>
      <c r="FT7" s="5" t="s">
        <v>9</v>
      </c>
      <c r="FU7" s="5" t="s">
        <v>9</v>
      </c>
      <c r="FV7" s="5" t="s">
        <v>9</v>
      </c>
      <c r="FW7" s="5" t="s">
        <v>9</v>
      </c>
      <c r="FX7" s="5" t="s">
        <v>9</v>
      </c>
      <c r="FY7" s="5" t="s">
        <v>9</v>
      </c>
      <c r="FZ7" s="5" t="s">
        <v>9</v>
      </c>
      <c r="GA7" s="5" t="s">
        <v>9</v>
      </c>
      <c r="GB7" s="5" t="s">
        <v>9</v>
      </c>
      <c r="GC7" s="5" t="s">
        <v>9</v>
      </c>
      <c r="GD7" s="5" t="s">
        <v>9</v>
      </c>
      <c r="GE7" s="5" t="s">
        <v>9</v>
      </c>
      <c r="GF7" s="5" t="s">
        <v>9</v>
      </c>
      <c r="GG7" s="5" t="s">
        <v>9</v>
      </c>
      <c r="GH7" s="5" t="s">
        <v>9</v>
      </c>
      <c r="GI7" s="5" t="s">
        <v>9</v>
      </c>
      <c r="GJ7" s="5" t="s">
        <v>9</v>
      </c>
      <c r="GK7" s="5" t="s">
        <v>9</v>
      </c>
      <c r="GL7" s="5"/>
    </row>
    <row r="8" spans="1:194" ht="16.2" thickBot="1" x14ac:dyDescent="0.35">
      <c r="A8" s="32" t="s">
        <v>47</v>
      </c>
      <c r="B8" s="35" t="s">
        <v>6</v>
      </c>
      <c r="C8" s="5">
        <v>0.12</v>
      </c>
      <c r="D8" s="37" t="s">
        <v>11</v>
      </c>
      <c r="E8" s="5" t="s">
        <v>410</v>
      </c>
      <c r="F8" s="5" t="s">
        <v>410</v>
      </c>
      <c r="G8" s="5" t="s">
        <v>410</v>
      </c>
      <c r="H8" s="5" t="s">
        <v>410</v>
      </c>
      <c r="I8" s="5" t="s">
        <v>410</v>
      </c>
      <c r="J8" s="5" t="s">
        <v>410</v>
      </c>
      <c r="K8" s="5" t="s">
        <v>410</v>
      </c>
      <c r="L8" s="5" t="s">
        <v>410</v>
      </c>
      <c r="M8" s="5" t="s">
        <v>410</v>
      </c>
      <c r="N8" s="5" t="s">
        <v>410</v>
      </c>
      <c r="O8" s="5" t="s">
        <v>410</v>
      </c>
      <c r="P8" s="5" t="s">
        <v>410</v>
      </c>
      <c r="Q8" s="5" t="s">
        <v>410</v>
      </c>
      <c r="R8" s="5" t="s">
        <v>410</v>
      </c>
      <c r="S8" s="5" t="s">
        <v>410</v>
      </c>
      <c r="T8" s="5" t="s">
        <v>410</v>
      </c>
      <c r="U8" s="5" t="s">
        <v>410</v>
      </c>
      <c r="V8" s="5" t="s">
        <v>410</v>
      </c>
      <c r="W8" s="5" t="s">
        <v>410</v>
      </c>
      <c r="X8" s="5" t="s">
        <v>410</v>
      </c>
      <c r="Y8" s="5" t="s">
        <v>410</v>
      </c>
      <c r="Z8" s="5" t="s">
        <v>410</v>
      </c>
      <c r="AA8" s="5" t="s">
        <v>410</v>
      </c>
      <c r="AB8" s="5" t="s">
        <v>410</v>
      </c>
      <c r="AC8" s="5" t="s">
        <v>410</v>
      </c>
      <c r="AD8" s="5" t="s">
        <v>410</v>
      </c>
      <c r="AE8" s="5" t="s">
        <v>410</v>
      </c>
      <c r="AF8" s="5" t="s">
        <v>410</v>
      </c>
      <c r="AG8" s="5" t="s">
        <v>410</v>
      </c>
      <c r="AH8" s="5" t="s">
        <v>410</v>
      </c>
      <c r="AI8" s="5" t="s">
        <v>410</v>
      </c>
      <c r="AJ8" s="5" t="s">
        <v>410</v>
      </c>
      <c r="AK8" s="5" t="s">
        <v>410</v>
      </c>
      <c r="AL8" s="5" t="s">
        <v>410</v>
      </c>
      <c r="AM8" s="5" t="s">
        <v>410</v>
      </c>
      <c r="AN8" s="5" t="s">
        <v>410</v>
      </c>
      <c r="AO8" s="5" t="s">
        <v>410</v>
      </c>
      <c r="AP8" s="5" t="s">
        <v>410</v>
      </c>
      <c r="AQ8" s="5" t="s">
        <v>410</v>
      </c>
      <c r="AR8" s="5" t="s">
        <v>410</v>
      </c>
      <c r="AS8" s="5" t="s">
        <v>410</v>
      </c>
      <c r="AT8" s="5" t="s">
        <v>410</v>
      </c>
      <c r="AU8" s="5" t="s">
        <v>410</v>
      </c>
      <c r="AV8" s="5" t="s">
        <v>410</v>
      </c>
      <c r="AW8" s="5" t="s">
        <v>410</v>
      </c>
      <c r="AX8" s="5" t="s">
        <v>410</v>
      </c>
      <c r="AY8" s="5" t="s">
        <v>410</v>
      </c>
      <c r="AZ8" s="5" t="s">
        <v>410</v>
      </c>
      <c r="BA8" s="5" t="s">
        <v>410</v>
      </c>
      <c r="BB8" s="5" t="s">
        <v>410</v>
      </c>
      <c r="BC8" s="5" t="s">
        <v>410</v>
      </c>
      <c r="BD8" s="5" t="s">
        <v>410</v>
      </c>
      <c r="BE8" s="5" t="s">
        <v>410</v>
      </c>
      <c r="BF8" s="5" t="s">
        <v>410</v>
      </c>
      <c r="BG8" s="5" t="s">
        <v>410</v>
      </c>
      <c r="BH8" s="5" t="s">
        <v>410</v>
      </c>
      <c r="BI8" s="5" t="s">
        <v>410</v>
      </c>
      <c r="BJ8" s="5" t="s">
        <v>410</v>
      </c>
      <c r="BK8" s="5" t="s">
        <v>410</v>
      </c>
      <c r="BL8" s="5" t="s">
        <v>410</v>
      </c>
      <c r="BM8" s="5" t="s">
        <v>410</v>
      </c>
      <c r="BN8" s="5" t="s">
        <v>410</v>
      </c>
      <c r="BO8" s="5" t="s">
        <v>410</v>
      </c>
      <c r="BP8" s="5" t="s">
        <v>410</v>
      </c>
      <c r="BQ8" s="5" t="s">
        <v>410</v>
      </c>
      <c r="BR8" s="5" t="s">
        <v>410</v>
      </c>
      <c r="BS8" s="5" t="s">
        <v>410</v>
      </c>
      <c r="BT8" s="5" t="s">
        <v>410</v>
      </c>
      <c r="BU8" s="5" t="s">
        <v>410</v>
      </c>
      <c r="BV8" s="5" t="s">
        <v>410</v>
      </c>
      <c r="BW8" s="5" t="s">
        <v>410</v>
      </c>
      <c r="BX8" s="5" t="s">
        <v>410</v>
      </c>
      <c r="BY8" s="5" t="s">
        <v>410</v>
      </c>
      <c r="BZ8" s="5" t="s">
        <v>410</v>
      </c>
      <c r="CA8" s="5" t="s">
        <v>410</v>
      </c>
      <c r="CB8" s="5" t="s">
        <v>410</v>
      </c>
      <c r="CC8" s="5" t="s">
        <v>410</v>
      </c>
      <c r="CD8" s="5" t="s">
        <v>410</v>
      </c>
      <c r="CE8" s="5" t="s">
        <v>410</v>
      </c>
      <c r="CF8" s="5" t="s">
        <v>410</v>
      </c>
      <c r="CG8" s="5" t="s">
        <v>410</v>
      </c>
      <c r="CH8" s="5" t="s">
        <v>410</v>
      </c>
      <c r="CI8" s="5" t="s">
        <v>410</v>
      </c>
      <c r="CJ8" s="5">
        <v>9.1999999999999998E-2</v>
      </c>
      <c r="CK8" s="5">
        <v>9.1999999999999998E-2</v>
      </c>
      <c r="CL8" s="5">
        <v>9.5000000000000001E-2</v>
      </c>
      <c r="CM8" s="5">
        <v>0.182</v>
      </c>
      <c r="CN8" s="5">
        <v>0.185</v>
      </c>
      <c r="CO8" s="5">
        <v>0.192</v>
      </c>
      <c r="CP8" s="5">
        <v>9.1999999999999998E-2</v>
      </c>
      <c r="CQ8" s="5">
        <v>9.1999999999999998E-2</v>
      </c>
      <c r="CR8" s="5">
        <v>9.5000000000000001E-2</v>
      </c>
      <c r="CS8" s="5">
        <v>0.182</v>
      </c>
      <c r="CT8" s="5">
        <v>0.185</v>
      </c>
      <c r="CU8" s="5">
        <v>0.192</v>
      </c>
      <c r="CV8" s="5">
        <v>5.8000000000000003E-2</v>
      </c>
      <c r="CW8" s="5">
        <v>5.8000000000000003E-2</v>
      </c>
      <c r="CX8" s="5">
        <v>6.6000000000000003E-2</v>
      </c>
      <c r="CY8" s="5">
        <v>0.10100000000000001</v>
      </c>
      <c r="CZ8" s="5">
        <v>7.4999999999999997E-2</v>
      </c>
      <c r="DA8" s="5">
        <v>0.106</v>
      </c>
      <c r="DB8" s="5">
        <v>0.126</v>
      </c>
      <c r="DC8" s="5">
        <v>0.151</v>
      </c>
      <c r="DD8" s="5">
        <v>0.20599999999999999</v>
      </c>
      <c r="DE8" s="5">
        <v>0.222</v>
      </c>
      <c r="DF8" s="5">
        <v>5.6000000000000001E-2</v>
      </c>
      <c r="DG8" s="5">
        <v>5.6000000000000001E-2</v>
      </c>
      <c r="DH8" s="5">
        <v>5.8999999999999997E-2</v>
      </c>
      <c r="DI8" s="5">
        <v>0.15</v>
      </c>
      <c r="DJ8" s="5">
        <v>0.127</v>
      </c>
      <c r="DK8" s="5">
        <v>0.13800000000000001</v>
      </c>
      <c r="DL8" s="5">
        <v>0.184</v>
      </c>
      <c r="DM8" s="5">
        <v>0.214</v>
      </c>
      <c r="DN8" s="5">
        <v>0.28299999999999997</v>
      </c>
      <c r="DO8" s="5">
        <v>0.40400000000000003</v>
      </c>
      <c r="DP8" s="5">
        <v>1.49</v>
      </c>
      <c r="DQ8" s="5">
        <v>1.6839999999999999</v>
      </c>
      <c r="DR8" s="5">
        <v>0.55000000000000004</v>
      </c>
      <c r="DS8" s="5">
        <v>0.67</v>
      </c>
      <c r="DT8" s="5">
        <v>0.35899999999999999</v>
      </c>
      <c r="DU8" s="5">
        <v>0.54800000000000004</v>
      </c>
      <c r="DV8" s="5">
        <v>0.63800000000000001</v>
      </c>
      <c r="DW8" s="5">
        <v>0.08</v>
      </c>
      <c r="DX8" s="5">
        <v>0.1</v>
      </c>
      <c r="DY8" s="5">
        <v>0.115</v>
      </c>
      <c r="DZ8" s="5">
        <v>0.18</v>
      </c>
      <c r="EA8" s="5">
        <v>0.13200000000000001</v>
      </c>
      <c r="EB8" s="5">
        <v>2.9000000000000001E-2</v>
      </c>
      <c r="EC8" s="5">
        <v>2.9000000000000001E-2</v>
      </c>
      <c r="ED8" s="5">
        <v>3.5999999999999997E-2</v>
      </c>
      <c r="EE8" s="5">
        <v>0.04</v>
      </c>
      <c r="EF8" s="5">
        <v>6.3E-2</v>
      </c>
      <c r="EG8" s="5">
        <v>9.6000000000000002E-2</v>
      </c>
      <c r="EH8" s="5">
        <v>0.158</v>
      </c>
      <c r="EI8" s="5">
        <v>0.17799999999999999</v>
      </c>
      <c r="EJ8" s="5">
        <v>0.20300000000000001</v>
      </c>
      <c r="EK8" s="5">
        <v>2.8000000000000001E-2</v>
      </c>
      <c r="EL8" s="5">
        <v>2.8000000000000001E-2</v>
      </c>
      <c r="EM8" s="5">
        <v>3.5000000000000003E-2</v>
      </c>
      <c r="EN8" s="5">
        <v>5.6000000000000001E-2</v>
      </c>
      <c r="EO8" s="5">
        <v>6.0999999999999999E-2</v>
      </c>
      <c r="EP8" s="5">
        <v>0.16400000000000001</v>
      </c>
      <c r="EQ8" s="5">
        <v>0.16400000000000001</v>
      </c>
      <c r="ER8" s="5">
        <v>0.17</v>
      </c>
      <c r="ES8" s="5">
        <v>0.19400000000000001</v>
      </c>
      <c r="ET8" s="5">
        <v>0.04</v>
      </c>
      <c r="EU8" s="5">
        <v>0.04</v>
      </c>
      <c r="EV8" s="5">
        <v>0.04</v>
      </c>
      <c r="EW8" s="5">
        <v>0.05</v>
      </c>
      <c r="EX8" s="5">
        <v>0.06</v>
      </c>
      <c r="EY8" s="5">
        <v>0.1</v>
      </c>
      <c r="EZ8" s="5">
        <v>0.14199999999999999</v>
      </c>
      <c r="FA8" s="5">
        <v>0.14499999999999999</v>
      </c>
      <c r="FB8" s="5">
        <v>0.19900000000000001</v>
      </c>
      <c r="FC8" s="5">
        <v>0.9</v>
      </c>
      <c r="FD8" s="5">
        <v>2.56</v>
      </c>
      <c r="FE8" s="5">
        <v>2.8</v>
      </c>
      <c r="FF8" s="5">
        <v>4.2999999999999997E-2</v>
      </c>
      <c r="FG8" s="5">
        <v>4.2999999999999997E-2</v>
      </c>
      <c r="FH8" s="5">
        <v>4.4999999999999998E-2</v>
      </c>
      <c r="FI8" s="5">
        <v>5.8999999999999997E-2</v>
      </c>
      <c r="FJ8" s="5">
        <v>9.1999999999999998E-2</v>
      </c>
      <c r="FK8" s="5">
        <v>5.6000000000000001E-2</v>
      </c>
      <c r="FL8" s="5">
        <v>5.6000000000000001E-2</v>
      </c>
      <c r="FM8" s="5">
        <v>5.6000000000000001E-2</v>
      </c>
      <c r="FN8" s="5">
        <v>5.6000000000000001E-2</v>
      </c>
      <c r="FO8" s="5">
        <v>5.6000000000000001E-2</v>
      </c>
      <c r="FP8" s="5">
        <v>0.106</v>
      </c>
      <c r="FQ8" s="5">
        <v>0.112</v>
      </c>
      <c r="FR8" s="5">
        <v>0.21199999999999999</v>
      </c>
      <c r="FS8" s="5">
        <v>7.2999999999999995E-2</v>
      </c>
      <c r="FT8" s="5">
        <v>8.4000000000000005E-2</v>
      </c>
      <c r="FU8" s="5">
        <v>9.7000000000000003E-2</v>
      </c>
      <c r="FV8" s="5">
        <v>9.7000000000000003E-2</v>
      </c>
      <c r="FW8" s="5">
        <v>0.12</v>
      </c>
      <c r="FX8" s="5">
        <v>6.2E-2</v>
      </c>
      <c r="FY8" s="5">
        <v>6.2E-2</v>
      </c>
      <c r="FZ8" s="5">
        <v>0.13</v>
      </c>
      <c r="GA8" s="5">
        <v>0.13</v>
      </c>
      <c r="GB8" s="5">
        <v>0.13</v>
      </c>
      <c r="GC8" s="5">
        <v>1.7999999999999999E-2</v>
      </c>
      <c r="GD8" s="5">
        <v>1.7999999999999999E-2</v>
      </c>
      <c r="GE8" s="5">
        <v>3.4000000000000002E-2</v>
      </c>
      <c r="GF8" s="5">
        <v>3.4000000000000002E-2</v>
      </c>
      <c r="GG8" s="5">
        <v>3.4000000000000002E-2</v>
      </c>
      <c r="GH8" s="5">
        <v>0.04</v>
      </c>
      <c r="GI8" s="5">
        <v>4.4999999999999998E-2</v>
      </c>
      <c r="GJ8" s="5">
        <v>2.1999999999999999E-2</v>
      </c>
      <c r="GK8" s="5">
        <v>3.5000000000000003E-2</v>
      </c>
      <c r="GL8" s="5"/>
    </row>
    <row r="9" spans="1:194" ht="16.2" thickBot="1" x14ac:dyDescent="0.35">
      <c r="A9" s="32" t="s">
        <v>59</v>
      </c>
      <c r="B9" s="35" t="s">
        <v>6</v>
      </c>
      <c r="C9" s="5">
        <v>0.55000000000000004</v>
      </c>
      <c r="D9" s="37" t="s">
        <v>12</v>
      </c>
      <c r="E9" s="5" t="s">
        <v>410</v>
      </c>
      <c r="F9" s="5" t="s">
        <v>410</v>
      </c>
      <c r="G9" s="5" t="s">
        <v>410</v>
      </c>
      <c r="H9" s="5" t="s">
        <v>410</v>
      </c>
      <c r="I9" s="5" t="s">
        <v>410</v>
      </c>
      <c r="J9" s="5" t="s">
        <v>410</v>
      </c>
      <c r="K9" s="5" t="s">
        <v>410</v>
      </c>
      <c r="L9" s="5" t="s">
        <v>410</v>
      </c>
      <c r="M9" s="5" t="s">
        <v>410</v>
      </c>
      <c r="N9" s="5" t="s">
        <v>410</v>
      </c>
      <c r="O9" s="5" t="s">
        <v>410</v>
      </c>
      <c r="P9" s="5" t="s">
        <v>410</v>
      </c>
      <c r="Q9" s="5" t="s">
        <v>410</v>
      </c>
      <c r="R9" s="5" t="s">
        <v>410</v>
      </c>
      <c r="S9" s="5" t="s">
        <v>410</v>
      </c>
      <c r="T9" s="5" t="s">
        <v>410</v>
      </c>
      <c r="U9" s="5" t="s">
        <v>410</v>
      </c>
      <c r="V9" s="5" t="s">
        <v>410</v>
      </c>
      <c r="W9" s="5" t="s">
        <v>410</v>
      </c>
      <c r="X9" s="5" t="s">
        <v>410</v>
      </c>
      <c r="Y9" s="5" t="s">
        <v>410</v>
      </c>
      <c r="Z9" s="5" t="s">
        <v>410</v>
      </c>
      <c r="AA9" s="5" t="s">
        <v>410</v>
      </c>
      <c r="AB9" s="5" t="s">
        <v>410</v>
      </c>
      <c r="AC9" s="5" t="s">
        <v>410</v>
      </c>
      <c r="AD9" s="5" t="s">
        <v>410</v>
      </c>
      <c r="AE9" s="5" t="s">
        <v>410</v>
      </c>
      <c r="AF9" s="5" t="s">
        <v>410</v>
      </c>
      <c r="AG9" s="5" t="s">
        <v>410</v>
      </c>
      <c r="AH9" s="5" t="s">
        <v>410</v>
      </c>
      <c r="AI9" s="5" t="s">
        <v>410</v>
      </c>
      <c r="AJ9" s="5" t="s">
        <v>410</v>
      </c>
      <c r="AK9" s="5" t="s">
        <v>410</v>
      </c>
      <c r="AL9" s="5" t="s">
        <v>410</v>
      </c>
      <c r="AM9" s="5" t="s">
        <v>410</v>
      </c>
      <c r="AN9" s="5" t="s">
        <v>410</v>
      </c>
      <c r="AO9" s="5" t="s">
        <v>410</v>
      </c>
      <c r="AP9" s="5" t="s">
        <v>410</v>
      </c>
      <c r="AQ9" s="5" t="s">
        <v>410</v>
      </c>
      <c r="AR9" s="5" t="s">
        <v>410</v>
      </c>
      <c r="AS9" s="5" t="s">
        <v>410</v>
      </c>
      <c r="AT9" s="5" t="s">
        <v>410</v>
      </c>
      <c r="AU9" s="5" t="s">
        <v>410</v>
      </c>
      <c r="AV9" s="5" t="s">
        <v>410</v>
      </c>
      <c r="AW9" s="5" t="s">
        <v>410</v>
      </c>
      <c r="AX9" s="5" t="s">
        <v>410</v>
      </c>
      <c r="AY9" s="5" t="s">
        <v>410</v>
      </c>
      <c r="AZ9" s="5" t="s">
        <v>410</v>
      </c>
      <c r="BA9" s="5" t="s">
        <v>410</v>
      </c>
      <c r="BB9" s="5" t="s">
        <v>410</v>
      </c>
      <c r="BC9" s="5" t="s">
        <v>410</v>
      </c>
      <c r="BD9" s="5" t="s">
        <v>410</v>
      </c>
      <c r="BE9" s="5" t="s">
        <v>410</v>
      </c>
      <c r="BF9" s="5" t="s">
        <v>410</v>
      </c>
      <c r="BG9" s="5" t="s">
        <v>410</v>
      </c>
      <c r="BH9" s="5" t="s">
        <v>410</v>
      </c>
      <c r="BI9" s="5" t="s">
        <v>410</v>
      </c>
      <c r="BJ9" s="5" t="s">
        <v>410</v>
      </c>
      <c r="BK9" s="5" t="s">
        <v>410</v>
      </c>
      <c r="BL9" s="5" t="s">
        <v>410</v>
      </c>
      <c r="BM9" s="5" t="s">
        <v>410</v>
      </c>
      <c r="BN9" s="5" t="s">
        <v>410</v>
      </c>
      <c r="BO9" s="5" t="s">
        <v>410</v>
      </c>
      <c r="BP9" s="5" t="s">
        <v>410</v>
      </c>
      <c r="BQ9" s="5" t="s">
        <v>410</v>
      </c>
      <c r="BR9" s="5" t="s">
        <v>410</v>
      </c>
      <c r="BS9" s="5" t="s">
        <v>410</v>
      </c>
      <c r="BT9" s="5" t="s">
        <v>410</v>
      </c>
      <c r="BU9" s="5" t="s">
        <v>410</v>
      </c>
      <c r="BV9" s="5" t="s">
        <v>410</v>
      </c>
      <c r="BW9" s="5" t="s">
        <v>410</v>
      </c>
      <c r="BX9" s="5" t="s">
        <v>410</v>
      </c>
      <c r="BY9" s="5" t="s">
        <v>410</v>
      </c>
      <c r="BZ9" s="5" t="s">
        <v>410</v>
      </c>
      <c r="CA9" s="5" t="s">
        <v>410</v>
      </c>
      <c r="CB9" s="5" t="s">
        <v>410</v>
      </c>
      <c r="CC9" s="5" t="s">
        <v>410</v>
      </c>
      <c r="CD9" s="5" t="s">
        <v>410</v>
      </c>
      <c r="CE9" s="5" t="s">
        <v>410</v>
      </c>
      <c r="CF9" s="5" t="s">
        <v>410</v>
      </c>
      <c r="CG9" s="5" t="s">
        <v>410</v>
      </c>
      <c r="CH9" s="5" t="s">
        <v>410</v>
      </c>
      <c r="CI9" s="5" t="s">
        <v>410</v>
      </c>
      <c r="CJ9" s="5">
        <v>0.7</v>
      </c>
      <c r="CK9" s="5">
        <v>0.7</v>
      </c>
      <c r="CL9" s="5">
        <v>0.7</v>
      </c>
      <c r="CM9" s="5">
        <v>0.9</v>
      </c>
      <c r="CN9" s="5">
        <v>1</v>
      </c>
      <c r="CO9" s="5">
        <v>1.1000000000000001</v>
      </c>
      <c r="CP9" s="5">
        <v>0.7</v>
      </c>
      <c r="CQ9" s="5">
        <v>0.7</v>
      </c>
      <c r="CR9" s="5">
        <v>0.7</v>
      </c>
      <c r="CS9" s="5">
        <v>0.9</v>
      </c>
      <c r="CT9" s="5">
        <v>1</v>
      </c>
      <c r="CU9" s="5">
        <v>1.1000000000000001</v>
      </c>
      <c r="CV9" s="5">
        <v>0.6</v>
      </c>
      <c r="CW9" s="5">
        <v>0.6</v>
      </c>
      <c r="CX9" s="5">
        <v>0.7</v>
      </c>
      <c r="CY9" s="5">
        <v>1.2</v>
      </c>
      <c r="CZ9" s="5">
        <v>1.1000000000000001</v>
      </c>
      <c r="DA9" s="5">
        <v>1.4</v>
      </c>
      <c r="DB9" s="5">
        <v>1.5</v>
      </c>
      <c r="DC9" s="5">
        <v>2</v>
      </c>
      <c r="DD9" s="5">
        <v>2.2000000000000002</v>
      </c>
      <c r="DE9" s="5">
        <v>2.5</v>
      </c>
      <c r="DF9" s="5">
        <v>0.5</v>
      </c>
      <c r="DG9" s="5">
        <v>0.5</v>
      </c>
      <c r="DH9" s="5">
        <v>0.5</v>
      </c>
      <c r="DI9" s="5">
        <v>1.1000000000000001</v>
      </c>
      <c r="DJ9" s="5">
        <v>1.3</v>
      </c>
      <c r="DK9" s="5">
        <v>1.4</v>
      </c>
      <c r="DL9" s="5">
        <v>1.8</v>
      </c>
      <c r="DM9" s="5">
        <v>2.2999999999999998</v>
      </c>
      <c r="DN9" s="5">
        <v>2.7</v>
      </c>
      <c r="DO9" s="5">
        <v>2.7</v>
      </c>
      <c r="DP9" s="5">
        <v>7.2</v>
      </c>
      <c r="DQ9" s="5">
        <v>8.1</v>
      </c>
      <c r="DR9" s="5">
        <v>3.9</v>
      </c>
      <c r="DS9" s="5">
        <v>4.7</v>
      </c>
      <c r="DT9" s="5">
        <v>1.7</v>
      </c>
      <c r="DU9" s="5">
        <v>2.9</v>
      </c>
      <c r="DV9" s="5">
        <v>3.3</v>
      </c>
      <c r="DW9" s="5">
        <v>1.1000000000000001</v>
      </c>
      <c r="DX9" s="5">
        <v>1.4</v>
      </c>
      <c r="DY9" s="5">
        <v>2.2000000000000002</v>
      </c>
      <c r="DZ9" s="5">
        <v>2.7</v>
      </c>
      <c r="EA9" s="5">
        <v>0.8</v>
      </c>
      <c r="EB9" s="5">
        <v>0.2</v>
      </c>
      <c r="EC9" s="5">
        <v>0.2</v>
      </c>
      <c r="ED9" s="5">
        <v>0.3</v>
      </c>
      <c r="EE9" s="5">
        <v>0.3</v>
      </c>
      <c r="EF9" s="5">
        <v>0.5</v>
      </c>
      <c r="EG9" s="5">
        <v>0.8</v>
      </c>
      <c r="EH9" s="5">
        <v>1.1000000000000001</v>
      </c>
      <c r="EI9" s="5">
        <v>1.3</v>
      </c>
      <c r="EJ9" s="5">
        <v>1.4</v>
      </c>
      <c r="EK9" s="5">
        <v>0.2</v>
      </c>
      <c r="EL9" s="5">
        <v>0.2</v>
      </c>
      <c r="EM9" s="5">
        <v>0.3</v>
      </c>
      <c r="EN9" s="5">
        <v>0.5</v>
      </c>
      <c r="EO9" s="5">
        <v>0.5</v>
      </c>
      <c r="EP9" s="5">
        <v>1.1000000000000001</v>
      </c>
      <c r="EQ9" s="5">
        <v>1.1000000000000001</v>
      </c>
      <c r="ER9" s="5">
        <v>1.3</v>
      </c>
      <c r="ES9" s="5">
        <v>1.4</v>
      </c>
      <c r="ET9" s="5">
        <v>0.4</v>
      </c>
      <c r="EU9" s="5">
        <v>0.4</v>
      </c>
      <c r="EV9" s="5">
        <v>0.4</v>
      </c>
      <c r="EW9" s="5">
        <v>0.5</v>
      </c>
      <c r="EX9" s="5">
        <v>0.5</v>
      </c>
      <c r="EY9" s="5">
        <v>0.5</v>
      </c>
      <c r="EZ9" s="5">
        <v>0.7</v>
      </c>
      <c r="FA9" s="5">
        <v>0.7</v>
      </c>
      <c r="FB9" s="5">
        <v>1</v>
      </c>
      <c r="FC9" s="5">
        <v>6</v>
      </c>
      <c r="FD9" s="5">
        <v>9.1999999999999993</v>
      </c>
      <c r="FE9" s="5">
        <v>13.8</v>
      </c>
      <c r="FF9" s="5">
        <v>0.2</v>
      </c>
      <c r="FG9" s="5">
        <v>0.2</v>
      </c>
      <c r="FH9" s="5">
        <v>0.3</v>
      </c>
      <c r="FI9" s="5">
        <v>0.3</v>
      </c>
      <c r="FJ9" s="5">
        <v>0.5</v>
      </c>
      <c r="FK9" s="5">
        <v>0.2</v>
      </c>
      <c r="FL9" s="5">
        <v>0.2</v>
      </c>
      <c r="FM9" s="5">
        <v>0.2</v>
      </c>
      <c r="FN9" s="5">
        <v>0.2</v>
      </c>
      <c r="FO9" s="5">
        <v>0.3</v>
      </c>
      <c r="FP9" s="5">
        <v>0.4</v>
      </c>
      <c r="FQ9" s="5">
        <v>0.5</v>
      </c>
      <c r="FR9" s="5">
        <v>0.9</v>
      </c>
      <c r="FS9" s="5">
        <v>0.37</v>
      </c>
      <c r="FT9" s="5">
        <v>0.4</v>
      </c>
      <c r="FU9" s="5">
        <v>0.49</v>
      </c>
      <c r="FV9" s="5">
        <v>0.49</v>
      </c>
      <c r="FW9" s="5">
        <v>0.61</v>
      </c>
      <c r="FX9" s="5">
        <v>0.5</v>
      </c>
      <c r="FY9" s="5">
        <v>0.5</v>
      </c>
      <c r="FZ9" s="5">
        <v>0.7</v>
      </c>
      <c r="GA9" s="5">
        <v>0.7</v>
      </c>
      <c r="GB9" s="5">
        <v>0.8</v>
      </c>
      <c r="GC9" s="5">
        <v>0.09</v>
      </c>
      <c r="GD9" s="5">
        <v>0.09</v>
      </c>
      <c r="GE9" s="5">
        <v>0.16</v>
      </c>
      <c r="GF9" s="5">
        <v>0.16</v>
      </c>
      <c r="GG9" s="5">
        <v>0.16</v>
      </c>
      <c r="GH9" s="5">
        <v>0.19</v>
      </c>
      <c r="GI9" s="5">
        <v>0.21</v>
      </c>
      <c r="GJ9" s="5">
        <v>0.12</v>
      </c>
      <c r="GK9" s="5">
        <v>0.18</v>
      </c>
      <c r="GL9" s="5"/>
    </row>
    <row r="10" spans="1:194" ht="24.6" thickBot="1" x14ac:dyDescent="0.35">
      <c r="A10" s="32" t="s">
        <v>58</v>
      </c>
      <c r="B10" s="35" t="s">
        <v>6</v>
      </c>
      <c r="C10" s="5">
        <v>50</v>
      </c>
      <c r="D10" s="37" t="s">
        <v>548</v>
      </c>
      <c r="E10" s="5" t="s">
        <v>410</v>
      </c>
      <c r="F10" s="5" t="s">
        <v>410</v>
      </c>
      <c r="G10" s="5" t="s">
        <v>410</v>
      </c>
      <c r="H10" s="5" t="s">
        <v>410</v>
      </c>
      <c r="I10" s="5" t="s">
        <v>410</v>
      </c>
      <c r="J10" s="5" t="s">
        <v>410</v>
      </c>
      <c r="K10" s="5" t="s">
        <v>410</v>
      </c>
      <c r="L10" s="5" t="s">
        <v>410</v>
      </c>
      <c r="M10" s="5" t="s">
        <v>410</v>
      </c>
      <c r="N10" s="5" t="s">
        <v>410</v>
      </c>
      <c r="O10" s="5" t="s">
        <v>410</v>
      </c>
      <c r="P10" s="5" t="s">
        <v>410</v>
      </c>
      <c r="Q10" s="5" t="s">
        <v>410</v>
      </c>
      <c r="R10" s="5" t="s">
        <v>410</v>
      </c>
      <c r="S10" s="5" t="s">
        <v>410</v>
      </c>
      <c r="T10" s="5" t="s">
        <v>410</v>
      </c>
      <c r="U10" s="5" t="s">
        <v>410</v>
      </c>
      <c r="V10" s="5" t="s">
        <v>410</v>
      </c>
      <c r="W10" s="5" t="s">
        <v>410</v>
      </c>
      <c r="X10" s="5" t="s">
        <v>410</v>
      </c>
      <c r="Y10" s="5" t="s">
        <v>410</v>
      </c>
      <c r="Z10" s="5" t="s">
        <v>410</v>
      </c>
      <c r="AA10" s="5" t="s">
        <v>410</v>
      </c>
      <c r="AB10" s="5" t="s">
        <v>410</v>
      </c>
      <c r="AC10" s="5" t="s">
        <v>410</v>
      </c>
      <c r="AD10" s="5" t="s">
        <v>410</v>
      </c>
      <c r="AE10" s="5" t="s">
        <v>410</v>
      </c>
      <c r="AF10" s="5" t="s">
        <v>410</v>
      </c>
      <c r="AG10" s="5" t="s">
        <v>410</v>
      </c>
      <c r="AH10" s="5" t="s">
        <v>410</v>
      </c>
      <c r="AI10" s="5" t="s">
        <v>410</v>
      </c>
      <c r="AJ10" s="5" t="s">
        <v>410</v>
      </c>
      <c r="AK10" s="5" t="s">
        <v>410</v>
      </c>
      <c r="AL10" s="5" t="s">
        <v>410</v>
      </c>
      <c r="AM10" s="5" t="s">
        <v>410</v>
      </c>
      <c r="AN10" s="5" t="s">
        <v>410</v>
      </c>
      <c r="AO10" s="5" t="s">
        <v>410</v>
      </c>
      <c r="AP10" s="5" t="s">
        <v>410</v>
      </c>
      <c r="AQ10" s="5" t="s">
        <v>410</v>
      </c>
      <c r="AR10" s="5" t="s">
        <v>410</v>
      </c>
      <c r="AS10" s="5" t="s">
        <v>410</v>
      </c>
      <c r="AT10" s="5" t="s">
        <v>410</v>
      </c>
      <c r="AU10" s="5" t="s">
        <v>410</v>
      </c>
      <c r="AV10" s="5" t="s">
        <v>410</v>
      </c>
      <c r="AW10" s="5" t="s">
        <v>410</v>
      </c>
      <c r="AX10" s="5" t="s">
        <v>410</v>
      </c>
      <c r="AY10" s="5" t="s">
        <v>410</v>
      </c>
      <c r="AZ10" s="5" t="s">
        <v>410</v>
      </c>
      <c r="BA10" s="5" t="s">
        <v>410</v>
      </c>
      <c r="BB10" s="5" t="s">
        <v>410</v>
      </c>
      <c r="BC10" s="5" t="s">
        <v>410</v>
      </c>
      <c r="BD10" s="5" t="s">
        <v>410</v>
      </c>
      <c r="BE10" s="5" t="s">
        <v>410</v>
      </c>
      <c r="BF10" s="5" t="s">
        <v>410</v>
      </c>
      <c r="BG10" s="5" t="s">
        <v>410</v>
      </c>
      <c r="BH10" s="5" t="s">
        <v>410</v>
      </c>
      <c r="BI10" s="5" t="s">
        <v>410</v>
      </c>
      <c r="BJ10" s="5" t="s">
        <v>410</v>
      </c>
      <c r="BK10" s="5" t="s">
        <v>410</v>
      </c>
      <c r="BL10" s="5" t="s">
        <v>410</v>
      </c>
      <c r="BM10" s="5" t="s">
        <v>410</v>
      </c>
      <c r="BN10" s="5" t="s">
        <v>410</v>
      </c>
      <c r="BO10" s="5" t="s">
        <v>410</v>
      </c>
      <c r="BP10" s="5" t="s">
        <v>410</v>
      </c>
      <c r="BQ10" s="5" t="s">
        <v>410</v>
      </c>
      <c r="BR10" s="5" t="s">
        <v>410</v>
      </c>
      <c r="BS10" s="5" t="s">
        <v>410</v>
      </c>
      <c r="BT10" s="5" t="s">
        <v>410</v>
      </c>
      <c r="BU10" s="5" t="s">
        <v>410</v>
      </c>
      <c r="BV10" s="5" t="s">
        <v>410</v>
      </c>
      <c r="BW10" s="5" t="s">
        <v>410</v>
      </c>
      <c r="BX10" s="5" t="s">
        <v>410</v>
      </c>
      <c r="BY10" s="5" t="s">
        <v>410</v>
      </c>
      <c r="BZ10" s="5" t="s">
        <v>410</v>
      </c>
      <c r="CA10" s="5" t="s">
        <v>410</v>
      </c>
      <c r="CB10" s="5" t="s">
        <v>410</v>
      </c>
      <c r="CC10" s="5" t="s">
        <v>410</v>
      </c>
      <c r="CD10" s="5" t="s">
        <v>410</v>
      </c>
      <c r="CE10" s="5" t="s">
        <v>410</v>
      </c>
      <c r="CF10" s="5" t="s">
        <v>410</v>
      </c>
      <c r="CG10" s="5" t="s">
        <v>410</v>
      </c>
      <c r="CH10" s="5" t="s">
        <v>410</v>
      </c>
      <c r="CI10" s="5" t="s">
        <v>410</v>
      </c>
      <c r="CJ10" s="5">
        <v>30</v>
      </c>
      <c r="CK10" s="5">
        <v>30</v>
      </c>
      <c r="CL10" s="5">
        <v>30</v>
      </c>
      <c r="CM10" s="5">
        <v>44</v>
      </c>
      <c r="CN10" s="5">
        <v>44</v>
      </c>
      <c r="CO10" s="5">
        <v>44</v>
      </c>
      <c r="CP10" s="5">
        <v>30</v>
      </c>
      <c r="CQ10" s="5">
        <v>30</v>
      </c>
      <c r="CR10" s="5">
        <v>30</v>
      </c>
      <c r="CS10" s="5">
        <v>44</v>
      </c>
      <c r="CT10" s="5">
        <v>44</v>
      </c>
      <c r="CU10" s="5">
        <v>44</v>
      </c>
      <c r="CV10" s="5">
        <v>150</v>
      </c>
      <c r="CW10" s="5">
        <v>150</v>
      </c>
      <c r="CX10" s="5">
        <v>150</v>
      </c>
      <c r="CY10" s="5">
        <v>150</v>
      </c>
      <c r="CZ10" s="5">
        <v>150</v>
      </c>
      <c r="DA10" s="5">
        <v>150</v>
      </c>
      <c r="DB10" s="5">
        <v>150</v>
      </c>
      <c r="DC10" s="5">
        <v>150</v>
      </c>
      <c r="DD10" s="5">
        <v>150</v>
      </c>
      <c r="DE10" s="5">
        <v>140</v>
      </c>
      <c r="DF10" s="5">
        <v>100</v>
      </c>
      <c r="DG10" s="5">
        <v>100</v>
      </c>
      <c r="DH10" s="5">
        <v>100</v>
      </c>
      <c r="DI10" s="5">
        <v>160</v>
      </c>
      <c r="DJ10" s="5">
        <v>200</v>
      </c>
      <c r="DK10" s="5">
        <v>200</v>
      </c>
      <c r="DL10" s="5">
        <v>200</v>
      </c>
      <c r="DM10" s="5">
        <v>200</v>
      </c>
      <c r="DN10" s="5">
        <v>200</v>
      </c>
      <c r="DO10" s="5">
        <v>140</v>
      </c>
      <c r="DP10" s="5">
        <v>270</v>
      </c>
      <c r="DQ10" s="5">
        <v>270</v>
      </c>
      <c r="DR10" s="5">
        <v>250</v>
      </c>
      <c r="DS10" s="5">
        <v>250</v>
      </c>
      <c r="DT10" s="5" t="s">
        <v>410</v>
      </c>
      <c r="DU10" s="5" t="s">
        <v>410</v>
      </c>
      <c r="DV10" s="5" t="s">
        <v>410</v>
      </c>
      <c r="DW10" s="5" t="s">
        <v>410</v>
      </c>
      <c r="DX10" s="5" t="s">
        <v>410</v>
      </c>
      <c r="DY10" s="5" t="s">
        <v>410</v>
      </c>
      <c r="DZ10" s="5" t="s">
        <v>410</v>
      </c>
      <c r="EA10" s="5" t="s">
        <v>410</v>
      </c>
      <c r="EB10" s="5" t="s">
        <v>410</v>
      </c>
      <c r="EC10" s="5" t="s">
        <v>410</v>
      </c>
      <c r="ED10" s="5" t="s">
        <v>410</v>
      </c>
      <c r="EE10" s="5" t="s">
        <v>410</v>
      </c>
      <c r="EF10" s="5" t="s">
        <v>410</v>
      </c>
      <c r="EG10" s="5" t="s">
        <v>410</v>
      </c>
      <c r="EH10" s="5" t="s">
        <v>410</v>
      </c>
      <c r="EI10" s="5" t="s">
        <v>410</v>
      </c>
      <c r="EJ10" s="5" t="s">
        <v>410</v>
      </c>
      <c r="EK10" s="5" t="s">
        <v>410</v>
      </c>
      <c r="EL10" s="5" t="s">
        <v>410</v>
      </c>
      <c r="EM10" s="5" t="s">
        <v>410</v>
      </c>
      <c r="EN10" s="5" t="s">
        <v>410</v>
      </c>
      <c r="EO10" s="5" t="s">
        <v>410</v>
      </c>
      <c r="EP10" s="5" t="s">
        <v>410</v>
      </c>
      <c r="EQ10" s="5" t="s">
        <v>410</v>
      </c>
      <c r="ER10" s="5" t="s">
        <v>410</v>
      </c>
      <c r="ES10" s="5" t="s">
        <v>410</v>
      </c>
      <c r="ET10" s="5" t="s">
        <v>410</v>
      </c>
      <c r="EU10" s="5" t="s">
        <v>410</v>
      </c>
      <c r="EV10" s="5" t="s">
        <v>410</v>
      </c>
      <c r="EW10" s="5" t="s">
        <v>410</v>
      </c>
      <c r="EX10" s="5" t="s">
        <v>410</v>
      </c>
      <c r="EY10" s="5" t="s">
        <v>410</v>
      </c>
      <c r="EZ10" s="5" t="s">
        <v>410</v>
      </c>
      <c r="FA10" s="5" t="s">
        <v>410</v>
      </c>
      <c r="FB10" s="5" t="s">
        <v>410</v>
      </c>
      <c r="FC10" s="5" t="s">
        <v>410</v>
      </c>
      <c r="FD10" s="5" t="s">
        <v>410</v>
      </c>
      <c r="FE10" s="5" t="s">
        <v>410</v>
      </c>
      <c r="FF10" s="5" t="s">
        <v>410</v>
      </c>
      <c r="FG10" s="5" t="s">
        <v>410</v>
      </c>
      <c r="FH10" s="5" t="s">
        <v>410</v>
      </c>
      <c r="FI10" s="5" t="s">
        <v>410</v>
      </c>
      <c r="FJ10" s="5" t="s">
        <v>410</v>
      </c>
      <c r="FK10" s="5" t="s">
        <v>410</v>
      </c>
      <c r="FL10" s="5" t="s">
        <v>410</v>
      </c>
      <c r="FM10" s="5" t="s">
        <v>410</v>
      </c>
      <c r="FN10" s="5" t="s">
        <v>410</v>
      </c>
      <c r="FO10" s="5" t="s">
        <v>410</v>
      </c>
      <c r="FP10" s="5" t="s">
        <v>410</v>
      </c>
      <c r="FQ10" s="5" t="s">
        <v>410</v>
      </c>
      <c r="FR10" s="5" t="s">
        <v>410</v>
      </c>
      <c r="FS10" s="5" t="s">
        <v>410</v>
      </c>
      <c r="FT10" s="5" t="s">
        <v>410</v>
      </c>
      <c r="FU10" s="5" t="s">
        <v>410</v>
      </c>
      <c r="FV10" s="5" t="s">
        <v>410</v>
      </c>
      <c r="FW10" s="5" t="s">
        <v>410</v>
      </c>
      <c r="FX10" s="5" t="s">
        <v>410</v>
      </c>
      <c r="FY10" s="5" t="s">
        <v>410</v>
      </c>
      <c r="FZ10" s="5" t="s">
        <v>410</v>
      </c>
      <c r="GA10" s="5" t="s">
        <v>410</v>
      </c>
      <c r="GB10" s="5" t="s">
        <v>410</v>
      </c>
      <c r="GC10" s="5" t="s">
        <v>410</v>
      </c>
      <c r="GD10" s="5" t="s">
        <v>410</v>
      </c>
      <c r="GE10" s="5" t="s">
        <v>410</v>
      </c>
      <c r="GF10" s="5" t="s">
        <v>410</v>
      </c>
      <c r="GG10" s="5" t="s">
        <v>410</v>
      </c>
      <c r="GH10" s="5" t="s">
        <v>410</v>
      </c>
      <c r="GI10" s="5" t="s">
        <v>410</v>
      </c>
      <c r="GJ10" s="5" t="s">
        <v>410</v>
      </c>
      <c r="GK10" s="5" t="s">
        <v>410</v>
      </c>
      <c r="GL10" s="5"/>
    </row>
    <row r="11" spans="1:194" ht="24.6" thickBot="1" x14ac:dyDescent="0.35">
      <c r="A11" s="38" t="s">
        <v>51</v>
      </c>
      <c r="B11" s="35" t="s">
        <v>3</v>
      </c>
      <c r="C11" s="5" t="s">
        <v>13</v>
      </c>
      <c r="D11" s="37" t="s">
        <v>14</v>
      </c>
      <c r="E11" s="5" t="s">
        <v>38</v>
      </c>
      <c r="F11" s="5" t="s">
        <v>38</v>
      </c>
      <c r="G11" s="5" t="s">
        <v>38</v>
      </c>
      <c r="H11" s="5" t="s">
        <v>412</v>
      </c>
      <c r="I11" s="5" t="s">
        <v>412</v>
      </c>
      <c r="J11" s="5" t="s">
        <v>413</v>
      </c>
      <c r="K11" s="5" t="s">
        <v>413</v>
      </c>
      <c r="L11" s="5" t="s">
        <v>414</v>
      </c>
      <c r="M11" s="5" t="s">
        <v>414</v>
      </c>
      <c r="N11" s="5" t="s">
        <v>415</v>
      </c>
      <c r="O11" s="5" t="s">
        <v>415</v>
      </c>
      <c r="P11" s="5" t="s">
        <v>415</v>
      </c>
      <c r="Q11" s="5" t="s">
        <v>416</v>
      </c>
      <c r="R11" s="5" t="s">
        <v>416</v>
      </c>
      <c r="S11" s="5" t="s">
        <v>416</v>
      </c>
      <c r="T11" s="5" t="s">
        <v>416</v>
      </c>
      <c r="U11" s="5" t="s">
        <v>417</v>
      </c>
      <c r="V11" s="5" t="s">
        <v>417</v>
      </c>
      <c r="W11" s="5" t="s">
        <v>417</v>
      </c>
      <c r="X11" s="5" t="s">
        <v>415</v>
      </c>
      <c r="Y11" s="5" t="s">
        <v>415</v>
      </c>
      <c r="Z11" s="5" t="s">
        <v>416</v>
      </c>
      <c r="AA11" s="5" t="s">
        <v>416</v>
      </c>
      <c r="AB11" s="5" t="s">
        <v>418</v>
      </c>
      <c r="AC11" s="5" t="s">
        <v>418</v>
      </c>
      <c r="AD11" s="5" t="s">
        <v>419</v>
      </c>
      <c r="AE11" s="5" t="s">
        <v>419</v>
      </c>
      <c r="AF11" s="5" t="s">
        <v>419</v>
      </c>
      <c r="AG11" s="5" t="s">
        <v>420</v>
      </c>
      <c r="AH11" s="5" t="s">
        <v>420</v>
      </c>
      <c r="AI11" s="5" t="s">
        <v>420</v>
      </c>
      <c r="AJ11" s="5" t="s">
        <v>420</v>
      </c>
      <c r="AK11" s="5" t="s">
        <v>421</v>
      </c>
      <c r="AL11" s="5" t="s">
        <v>421</v>
      </c>
      <c r="AM11" s="5" t="s">
        <v>421</v>
      </c>
      <c r="AN11" s="5" t="s">
        <v>422</v>
      </c>
      <c r="AO11" s="5" t="s">
        <v>422</v>
      </c>
      <c r="AP11" s="5" t="s">
        <v>422</v>
      </c>
      <c r="AQ11" s="5" t="s">
        <v>422</v>
      </c>
      <c r="AR11" s="5" t="s">
        <v>423</v>
      </c>
      <c r="AS11" s="5" t="s">
        <v>423</v>
      </c>
      <c r="AT11" s="5" t="s">
        <v>423</v>
      </c>
      <c r="AU11" s="5" t="s">
        <v>424</v>
      </c>
      <c r="AV11" s="5" t="s">
        <v>424</v>
      </c>
      <c r="AW11" s="5" t="s">
        <v>424</v>
      </c>
      <c r="AX11" s="5" t="s">
        <v>424</v>
      </c>
      <c r="AY11" s="5" t="s">
        <v>423</v>
      </c>
      <c r="AZ11" s="5" t="s">
        <v>423</v>
      </c>
      <c r="BA11" s="5" t="s">
        <v>423</v>
      </c>
      <c r="BB11" s="5" t="s">
        <v>424</v>
      </c>
      <c r="BC11" s="5" t="s">
        <v>424</v>
      </c>
      <c r="BD11" s="5" t="s">
        <v>424</v>
      </c>
      <c r="BE11" s="5" t="s">
        <v>424</v>
      </c>
      <c r="BF11" s="5" t="s">
        <v>425</v>
      </c>
      <c r="BG11" s="5" t="s">
        <v>425</v>
      </c>
      <c r="BH11" s="5" t="s">
        <v>425</v>
      </c>
      <c r="BI11" s="5" t="s">
        <v>426</v>
      </c>
      <c r="BJ11" s="5" t="s">
        <v>426</v>
      </c>
      <c r="BK11" s="5" t="s">
        <v>427</v>
      </c>
      <c r="BL11" s="5" t="s">
        <v>427</v>
      </c>
      <c r="BM11" s="5" t="s">
        <v>415</v>
      </c>
      <c r="BN11" s="5" t="s">
        <v>415</v>
      </c>
      <c r="BO11" s="5" t="s">
        <v>415</v>
      </c>
      <c r="BP11" s="5" t="s">
        <v>416</v>
      </c>
      <c r="BQ11" s="5" t="s">
        <v>416</v>
      </c>
      <c r="BR11" s="5" t="s">
        <v>416</v>
      </c>
      <c r="BS11" s="5" t="s">
        <v>416</v>
      </c>
      <c r="BT11" s="5" t="s">
        <v>428</v>
      </c>
      <c r="BU11" s="5" t="s">
        <v>428</v>
      </c>
      <c r="BV11" s="5" t="s">
        <v>425</v>
      </c>
      <c r="BW11" s="5" t="s">
        <v>425</v>
      </c>
      <c r="BX11" s="5" t="s">
        <v>425</v>
      </c>
      <c r="BY11" s="5" t="s">
        <v>426</v>
      </c>
      <c r="BZ11" s="5" t="s">
        <v>426</v>
      </c>
      <c r="CA11" s="5" t="s">
        <v>427</v>
      </c>
      <c r="CB11" s="5" t="s">
        <v>427</v>
      </c>
      <c r="CC11" s="5" t="s">
        <v>423</v>
      </c>
      <c r="CD11" s="5" t="s">
        <v>423</v>
      </c>
      <c r="CE11" s="5" t="s">
        <v>423</v>
      </c>
      <c r="CF11" s="5" t="s">
        <v>424</v>
      </c>
      <c r="CG11" s="5" t="s">
        <v>424</v>
      </c>
      <c r="CH11" s="5" t="s">
        <v>424</v>
      </c>
      <c r="CI11" s="5" t="s">
        <v>424</v>
      </c>
      <c r="CJ11" s="5" t="s">
        <v>425</v>
      </c>
      <c r="CK11" s="5" t="s">
        <v>425</v>
      </c>
      <c r="CL11" s="5" t="s">
        <v>425</v>
      </c>
      <c r="CM11" s="5" t="s">
        <v>426</v>
      </c>
      <c r="CN11" s="5" t="s">
        <v>426</v>
      </c>
      <c r="CO11" s="5" t="s">
        <v>427</v>
      </c>
      <c r="CP11" s="5" t="s">
        <v>425</v>
      </c>
      <c r="CQ11" s="5" t="s">
        <v>425</v>
      </c>
      <c r="CR11" s="5" t="s">
        <v>425</v>
      </c>
      <c r="CS11" s="5" t="s">
        <v>426</v>
      </c>
      <c r="CT11" s="5" t="s">
        <v>426</v>
      </c>
      <c r="CU11" s="5" t="s">
        <v>427</v>
      </c>
      <c r="CV11" s="5" t="s">
        <v>435</v>
      </c>
      <c r="CW11" s="5" t="s">
        <v>435</v>
      </c>
      <c r="CX11" s="5" t="s">
        <v>435</v>
      </c>
      <c r="CY11" s="5" t="s">
        <v>436</v>
      </c>
      <c r="CZ11" s="5" t="s">
        <v>433</v>
      </c>
      <c r="DA11" s="5" t="s">
        <v>433</v>
      </c>
      <c r="DB11" s="5" t="s">
        <v>433</v>
      </c>
      <c r="DC11" s="5" t="s">
        <v>434</v>
      </c>
      <c r="DD11" s="5" t="s">
        <v>434</v>
      </c>
      <c r="DE11" s="5" t="s">
        <v>437</v>
      </c>
      <c r="DF11" s="5" t="s">
        <v>438</v>
      </c>
      <c r="DG11" s="5" t="s">
        <v>438</v>
      </c>
      <c r="DH11" s="5" t="s">
        <v>438</v>
      </c>
      <c r="DI11" s="5" t="s">
        <v>439</v>
      </c>
      <c r="DJ11" s="5" t="s">
        <v>440</v>
      </c>
      <c r="DK11" s="5" t="s">
        <v>440</v>
      </c>
      <c r="DL11" s="5" t="s">
        <v>440</v>
      </c>
      <c r="DM11" s="5" t="s">
        <v>441</v>
      </c>
      <c r="DN11" s="5" t="s">
        <v>441</v>
      </c>
      <c r="DO11" s="5" t="s">
        <v>441</v>
      </c>
      <c r="DP11" s="5" t="s">
        <v>442</v>
      </c>
      <c r="DQ11" s="5" t="s">
        <v>442</v>
      </c>
      <c r="DR11" s="5" t="s">
        <v>443</v>
      </c>
      <c r="DS11" s="5" t="s">
        <v>443</v>
      </c>
      <c r="DT11" s="5" t="s">
        <v>444</v>
      </c>
      <c r="DU11" s="5" t="s">
        <v>442</v>
      </c>
      <c r="DV11" s="5" t="s">
        <v>442</v>
      </c>
      <c r="DW11" s="5" t="s">
        <v>439</v>
      </c>
      <c r="DX11" s="5" t="s">
        <v>440</v>
      </c>
      <c r="DY11" s="5" t="s">
        <v>441</v>
      </c>
      <c r="DZ11" s="5" t="s">
        <v>441</v>
      </c>
      <c r="EA11" s="5" t="s">
        <v>445</v>
      </c>
      <c r="EB11" s="5" t="s">
        <v>431</v>
      </c>
      <c r="EC11" s="5" t="s">
        <v>431</v>
      </c>
      <c r="ED11" s="5" t="s">
        <v>431</v>
      </c>
      <c r="EE11" s="5" t="s">
        <v>431</v>
      </c>
      <c r="EF11" s="5" t="s">
        <v>431</v>
      </c>
      <c r="EG11" s="5" t="s">
        <v>431</v>
      </c>
      <c r="EH11" s="5" t="s">
        <v>432</v>
      </c>
      <c r="EI11" s="5" t="s">
        <v>432</v>
      </c>
      <c r="EJ11" s="5" t="s">
        <v>432</v>
      </c>
      <c r="EK11" s="5" t="s">
        <v>431</v>
      </c>
      <c r="EL11" s="5" t="s">
        <v>431</v>
      </c>
      <c r="EM11" s="5" t="s">
        <v>431</v>
      </c>
      <c r="EN11" s="5" t="s">
        <v>431</v>
      </c>
      <c r="EO11" s="5" t="s">
        <v>431</v>
      </c>
      <c r="EP11" s="5" t="s">
        <v>432</v>
      </c>
      <c r="EQ11" s="5" t="s">
        <v>432</v>
      </c>
      <c r="ER11" s="5" t="s">
        <v>432</v>
      </c>
      <c r="ES11" s="5" t="s">
        <v>432</v>
      </c>
      <c r="ET11" s="5" t="s">
        <v>446</v>
      </c>
      <c r="EU11" s="5" t="s">
        <v>446</v>
      </c>
      <c r="EV11" s="5" t="s">
        <v>446</v>
      </c>
      <c r="EW11" s="5" t="s">
        <v>447</v>
      </c>
      <c r="EX11" s="5" t="s">
        <v>447</v>
      </c>
      <c r="EY11" s="5" t="s">
        <v>447</v>
      </c>
      <c r="EZ11" s="5" t="s">
        <v>448</v>
      </c>
      <c r="FA11" s="5" t="s">
        <v>449</v>
      </c>
      <c r="FB11" s="5" t="s">
        <v>450</v>
      </c>
      <c r="FC11" s="5" t="s">
        <v>451</v>
      </c>
      <c r="FD11" s="5" t="s">
        <v>452</v>
      </c>
      <c r="FE11" s="5" t="s">
        <v>453</v>
      </c>
      <c r="FF11" s="5" t="s">
        <v>454</v>
      </c>
      <c r="FG11" s="5" t="s">
        <v>454</v>
      </c>
      <c r="FH11" s="5" t="s">
        <v>454</v>
      </c>
      <c r="FI11" s="5" t="s">
        <v>454</v>
      </c>
      <c r="FJ11" s="5" t="s">
        <v>454</v>
      </c>
      <c r="FK11" s="5" t="s">
        <v>455</v>
      </c>
      <c r="FL11" s="5" t="s">
        <v>455</v>
      </c>
      <c r="FM11" s="5" t="s">
        <v>455</v>
      </c>
      <c r="FN11" s="5" t="s">
        <v>455</v>
      </c>
      <c r="FO11" s="5" t="s">
        <v>456</v>
      </c>
      <c r="FP11" s="5" t="s">
        <v>456</v>
      </c>
      <c r="FQ11" s="5" t="s">
        <v>457</v>
      </c>
      <c r="FR11" s="5" t="s">
        <v>457</v>
      </c>
      <c r="FS11" s="5" t="s">
        <v>458</v>
      </c>
      <c r="FT11" s="5" t="s">
        <v>458</v>
      </c>
      <c r="FU11" s="5" t="s">
        <v>458</v>
      </c>
      <c r="FV11" s="5" t="s">
        <v>458</v>
      </c>
      <c r="FW11" s="5" t="s">
        <v>458</v>
      </c>
      <c r="FX11" s="5" t="s">
        <v>425</v>
      </c>
      <c r="FY11" s="5" t="s">
        <v>425</v>
      </c>
      <c r="FZ11" s="5" t="s">
        <v>426</v>
      </c>
      <c r="GA11" s="5" t="s">
        <v>426</v>
      </c>
      <c r="GB11" s="5" t="s">
        <v>427</v>
      </c>
      <c r="GC11" s="5" t="s">
        <v>459</v>
      </c>
      <c r="GD11" s="5" t="s">
        <v>459</v>
      </c>
      <c r="GE11" s="5" t="s">
        <v>460</v>
      </c>
      <c r="GF11" s="5" t="s">
        <v>460</v>
      </c>
      <c r="GG11" s="5" t="s">
        <v>460</v>
      </c>
      <c r="GH11" s="5" t="s">
        <v>460</v>
      </c>
      <c r="GI11" s="5" t="s">
        <v>460</v>
      </c>
      <c r="GJ11" s="5" t="s">
        <v>461</v>
      </c>
      <c r="GK11" s="5" t="s">
        <v>461</v>
      </c>
      <c r="GL11" s="5"/>
    </row>
    <row r="12" spans="1:194" ht="24.6" thickBot="1" x14ac:dyDescent="0.35">
      <c r="A12" s="39" t="s">
        <v>61</v>
      </c>
      <c r="B12" s="35" t="s">
        <v>3</v>
      </c>
      <c r="C12" s="5" t="s">
        <v>36</v>
      </c>
      <c r="D12" s="37" t="s">
        <v>462</v>
      </c>
      <c r="E12" s="5" t="s">
        <v>463</v>
      </c>
      <c r="F12" s="5" t="s">
        <v>463</v>
      </c>
      <c r="G12" s="5" t="s">
        <v>463</v>
      </c>
      <c r="H12" s="5" t="s">
        <v>463</v>
      </c>
      <c r="I12" s="5" t="s">
        <v>463</v>
      </c>
      <c r="J12" s="5" t="s">
        <v>463</v>
      </c>
      <c r="K12" s="5" t="s">
        <v>463</v>
      </c>
      <c r="L12" s="5" t="s">
        <v>463</v>
      </c>
      <c r="M12" s="5" t="s">
        <v>463</v>
      </c>
      <c r="N12" s="5" t="s">
        <v>463</v>
      </c>
      <c r="O12" s="5" t="s">
        <v>463</v>
      </c>
      <c r="P12" s="5" t="s">
        <v>463</v>
      </c>
      <c r="Q12" s="5" t="s">
        <v>463</v>
      </c>
      <c r="R12" s="5" t="s">
        <v>463</v>
      </c>
      <c r="S12" s="5" t="s">
        <v>463</v>
      </c>
      <c r="T12" s="5" t="s">
        <v>463</v>
      </c>
      <c r="U12" s="5" t="s">
        <v>463</v>
      </c>
      <c r="V12" s="5" t="s">
        <v>463</v>
      </c>
      <c r="W12" s="5" t="s">
        <v>463</v>
      </c>
      <c r="X12" s="5" t="s">
        <v>463</v>
      </c>
      <c r="Y12" s="5" t="s">
        <v>463</v>
      </c>
      <c r="Z12" s="5" t="s">
        <v>463</v>
      </c>
      <c r="AA12" s="5" t="s">
        <v>463</v>
      </c>
      <c r="AB12" s="5" t="s">
        <v>463</v>
      </c>
      <c r="AC12" s="5" t="s">
        <v>463</v>
      </c>
      <c r="AD12" s="5" t="s">
        <v>463</v>
      </c>
      <c r="AE12" s="5" t="s">
        <v>463</v>
      </c>
      <c r="AF12" s="5" t="s">
        <v>463</v>
      </c>
      <c r="AG12" s="5" t="s">
        <v>463</v>
      </c>
      <c r="AH12" s="5" t="s">
        <v>463</v>
      </c>
      <c r="AI12" s="5" t="s">
        <v>463</v>
      </c>
      <c r="AJ12" s="5" t="s">
        <v>463</v>
      </c>
      <c r="AK12" s="5" t="s">
        <v>463</v>
      </c>
      <c r="AL12" s="5" t="s">
        <v>463</v>
      </c>
      <c r="AM12" s="5" t="s">
        <v>463</v>
      </c>
      <c r="AN12" s="5" t="s">
        <v>463</v>
      </c>
      <c r="AO12" s="5" t="s">
        <v>463</v>
      </c>
      <c r="AP12" s="5" t="s">
        <v>463</v>
      </c>
      <c r="AQ12" s="5" t="s">
        <v>463</v>
      </c>
      <c r="AR12" s="5" t="s">
        <v>463</v>
      </c>
      <c r="AS12" s="5" t="s">
        <v>463</v>
      </c>
      <c r="AT12" s="5" t="s">
        <v>463</v>
      </c>
      <c r="AU12" s="5" t="s">
        <v>463</v>
      </c>
      <c r="AV12" s="5" t="s">
        <v>463</v>
      </c>
      <c r="AW12" s="5" t="s">
        <v>463</v>
      </c>
      <c r="AX12" s="5" t="s">
        <v>463</v>
      </c>
      <c r="AY12" s="5" t="s">
        <v>463</v>
      </c>
      <c r="AZ12" s="5" t="s">
        <v>463</v>
      </c>
      <c r="BA12" s="5" t="s">
        <v>463</v>
      </c>
      <c r="BB12" s="5" t="s">
        <v>463</v>
      </c>
      <c r="BC12" s="5" t="s">
        <v>463</v>
      </c>
      <c r="BD12" s="5" t="s">
        <v>463</v>
      </c>
      <c r="BE12" s="5" t="s">
        <v>463</v>
      </c>
      <c r="BF12" s="5" t="s">
        <v>464</v>
      </c>
      <c r="BG12" s="5" t="s">
        <v>464</v>
      </c>
      <c r="BH12" s="5" t="s">
        <v>464</v>
      </c>
      <c r="BI12" s="5" t="s">
        <v>464</v>
      </c>
      <c r="BJ12" s="5" t="s">
        <v>464</v>
      </c>
      <c r="BK12" s="5" t="s">
        <v>464</v>
      </c>
      <c r="BL12" s="5" t="s">
        <v>464</v>
      </c>
      <c r="BM12" s="5" t="s">
        <v>463</v>
      </c>
      <c r="BN12" s="5" t="s">
        <v>463</v>
      </c>
      <c r="BO12" s="5" t="s">
        <v>463</v>
      </c>
      <c r="BP12" s="5" t="s">
        <v>463</v>
      </c>
      <c r="BQ12" s="5" t="s">
        <v>463</v>
      </c>
      <c r="BR12" s="5" t="s">
        <v>463</v>
      </c>
      <c r="BS12" s="5" t="s">
        <v>463</v>
      </c>
      <c r="BT12" s="5" t="s">
        <v>463</v>
      </c>
      <c r="BU12" s="5" t="s">
        <v>463</v>
      </c>
      <c r="BV12" s="5" t="s">
        <v>464</v>
      </c>
      <c r="BW12" s="5" t="s">
        <v>464</v>
      </c>
      <c r="BX12" s="5" t="s">
        <v>464</v>
      </c>
      <c r="BY12" s="5" t="s">
        <v>464</v>
      </c>
      <c r="BZ12" s="5" t="s">
        <v>464</v>
      </c>
      <c r="CA12" s="5" t="s">
        <v>464</v>
      </c>
      <c r="CB12" s="5" t="s">
        <v>464</v>
      </c>
      <c r="CC12" s="5" t="s">
        <v>463</v>
      </c>
      <c r="CD12" s="5" t="s">
        <v>463</v>
      </c>
      <c r="CE12" s="5" t="s">
        <v>463</v>
      </c>
      <c r="CF12" s="5" t="s">
        <v>463</v>
      </c>
      <c r="CG12" s="5" t="s">
        <v>463</v>
      </c>
      <c r="CH12" s="5" t="s">
        <v>463</v>
      </c>
      <c r="CI12" s="5" t="s">
        <v>463</v>
      </c>
      <c r="CJ12" s="5" t="s">
        <v>464</v>
      </c>
      <c r="CK12" s="5" t="s">
        <v>464</v>
      </c>
      <c r="CL12" s="5" t="s">
        <v>464</v>
      </c>
      <c r="CM12" s="5" t="s">
        <v>464</v>
      </c>
      <c r="CN12" s="5" t="s">
        <v>464</v>
      </c>
      <c r="CO12" s="5" t="s">
        <v>464</v>
      </c>
      <c r="CP12" s="5" t="s">
        <v>464</v>
      </c>
      <c r="CQ12" s="5" t="s">
        <v>464</v>
      </c>
      <c r="CR12" s="5" t="s">
        <v>464</v>
      </c>
      <c r="CS12" s="5" t="s">
        <v>464</v>
      </c>
      <c r="CT12" s="5" t="s">
        <v>464</v>
      </c>
      <c r="CU12" s="5" t="s">
        <v>464</v>
      </c>
      <c r="CV12" s="5" t="s">
        <v>464</v>
      </c>
      <c r="CW12" s="5" t="s">
        <v>464</v>
      </c>
      <c r="CX12" s="5" t="s">
        <v>464</v>
      </c>
      <c r="CY12" s="5" t="s">
        <v>464</v>
      </c>
      <c r="CZ12" s="5" t="s">
        <v>464</v>
      </c>
      <c r="DA12" s="5" t="s">
        <v>464</v>
      </c>
      <c r="DB12" s="5" t="s">
        <v>464</v>
      </c>
      <c r="DC12" s="5" t="s">
        <v>464</v>
      </c>
      <c r="DD12" s="5" t="s">
        <v>464</v>
      </c>
      <c r="DE12" s="5" t="s">
        <v>464</v>
      </c>
      <c r="DF12" s="5" t="s">
        <v>464</v>
      </c>
      <c r="DG12" s="5" t="s">
        <v>464</v>
      </c>
      <c r="DH12" s="5" t="s">
        <v>464</v>
      </c>
      <c r="DI12" s="5" t="s">
        <v>464</v>
      </c>
      <c r="DJ12" s="5" t="s">
        <v>464</v>
      </c>
      <c r="DK12" s="5" t="s">
        <v>464</v>
      </c>
      <c r="DL12" s="5" t="s">
        <v>464</v>
      </c>
      <c r="DM12" s="5" t="s">
        <v>464</v>
      </c>
      <c r="DN12" s="5" t="s">
        <v>464</v>
      </c>
      <c r="DO12" s="5" t="s">
        <v>464</v>
      </c>
      <c r="DP12" s="5" t="s">
        <v>464</v>
      </c>
      <c r="DQ12" s="5" t="s">
        <v>464</v>
      </c>
      <c r="DR12" s="5" t="s">
        <v>464</v>
      </c>
      <c r="DS12" s="5" t="s">
        <v>464</v>
      </c>
      <c r="DT12" s="5" t="s">
        <v>464</v>
      </c>
      <c r="DU12" s="5" t="s">
        <v>464</v>
      </c>
      <c r="DV12" s="5" t="s">
        <v>464</v>
      </c>
      <c r="DW12" s="5" t="s">
        <v>464</v>
      </c>
      <c r="DX12" s="5" t="s">
        <v>464</v>
      </c>
      <c r="DY12" s="5" t="s">
        <v>464</v>
      </c>
      <c r="DZ12" s="5" t="s">
        <v>464</v>
      </c>
      <c r="EA12" s="5" t="s">
        <v>466</v>
      </c>
      <c r="EB12" s="5" t="s">
        <v>465</v>
      </c>
      <c r="EC12" s="5" t="s">
        <v>465</v>
      </c>
      <c r="ED12" s="5" t="s">
        <v>465</v>
      </c>
      <c r="EE12" s="5" t="s">
        <v>465</v>
      </c>
      <c r="EF12" s="5" t="s">
        <v>465</v>
      </c>
      <c r="EG12" s="5" t="s">
        <v>465</v>
      </c>
      <c r="EH12" s="5" t="s">
        <v>465</v>
      </c>
      <c r="EI12" s="5" t="s">
        <v>465</v>
      </c>
      <c r="EJ12" s="5" t="s">
        <v>465</v>
      </c>
      <c r="EK12" s="5" t="s">
        <v>465</v>
      </c>
      <c r="EL12" s="5" t="s">
        <v>465</v>
      </c>
      <c r="EM12" s="5" t="s">
        <v>465</v>
      </c>
      <c r="EN12" s="5" t="s">
        <v>465</v>
      </c>
      <c r="EO12" s="5" t="s">
        <v>465</v>
      </c>
      <c r="EP12" s="5" t="s">
        <v>465</v>
      </c>
      <c r="EQ12" s="5" t="s">
        <v>465</v>
      </c>
      <c r="ER12" s="5" t="s">
        <v>465</v>
      </c>
      <c r="ES12" s="5" t="s">
        <v>465</v>
      </c>
      <c r="ET12" s="5" t="s">
        <v>463</v>
      </c>
      <c r="EU12" s="5" t="s">
        <v>463</v>
      </c>
      <c r="EV12" s="5" t="s">
        <v>463</v>
      </c>
      <c r="EW12" s="5" t="s">
        <v>463</v>
      </c>
      <c r="EX12" s="5" t="s">
        <v>463</v>
      </c>
      <c r="EY12" s="5" t="s">
        <v>463</v>
      </c>
      <c r="EZ12" s="5" t="s">
        <v>467</v>
      </c>
      <c r="FA12" s="5" t="s">
        <v>467</v>
      </c>
      <c r="FB12" s="5" t="s">
        <v>467</v>
      </c>
      <c r="FC12" s="5" t="s">
        <v>468</v>
      </c>
      <c r="FD12" s="5" t="s">
        <v>468</v>
      </c>
      <c r="FE12" s="5" t="s">
        <v>468</v>
      </c>
      <c r="FF12" s="5" t="s">
        <v>465</v>
      </c>
      <c r="FG12" s="5" t="s">
        <v>465</v>
      </c>
      <c r="FH12" s="5" t="s">
        <v>465</v>
      </c>
      <c r="FI12" s="5" t="s">
        <v>465</v>
      </c>
      <c r="FJ12" s="5" t="s">
        <v>465</v>
      </c>
      <c r="FK12" s="5" t="s">
        <v>465</v>
      </c>
      <c r="FL12" s="5" t="s">
        <v>465</v>
      </c>
      <c r="FM12" s="5" t="s">
        <v>465</v>
      </c>
      <c r="FN12" s="5" t="s">
        <v>465</v>
      </c>
      <c r="FO12" s="5" t="s">
        <v>465</v>
      </c>
      <c r="FP12" s="5" t="s">
        <v>465</v>
      </c>
      <c r="FQ12" s="5" t="s">
        <v>465</v>
      </c>
      <c r="FR12" s="5" t="s">
        <v>465</v>
      </c>
      <c r="FS12" s="5" t="s">
        <v>465</v>
      </c>
      <c r="FT12" s="5" t="s">
        <v>465</v>
      </c>
      <c r="FU12" s="5" t="s">
        <v>465</v>
      </c>
      <c r="FV12" s="5" t="s">
        <v>465</v>
      </c>
      <c r="FW12" s="5" t="s">
        <v>465</v>
      </c>
      <c r="FX12" s="5" t="s">
        <v>464</v>
      </c>
      <c r="FY12" s="5" t="s">
        <v>464</v>
      </c>
      <c r="FZ12" s="5" t="s">
        <v>464</v>
      </c>
      <c r="GA12" s="5" t="s">
        <v>464</v>
      </c>
      <c r="GB12" s="5" t="s">
        <v>464</v>
      </c>
      <c r="GC12" s="5" t="s">
        <v>463</v>
      </c>
      <c r="GD12" s="5" t="s">
        <v>463</v>
      </c>
      <c r="GE12" s="5" t="s">
        <v>463</v>
      </c>
      <c r="GF12" s="5" t="s">
        <v>463</v>
      </c>
      <c r="GG12" s="5" t="s">
        <v>463</v>
      </c>
      <c r="GH12" s="5" t="s">
        <v>463</v>
      </c>
      <c r="GI12" s="5" t="s">
        <v>463</v>
      </c>
      <c r="GJ12" s="5" t="s">
        <v>463</v>
      </c>
      <c r="GK12" s="5" t="s">
        <v>463</v>
      </c>
      <c r="GL12" s="9"/>
    </row>
    <row r="13" spans="1:194" ht="16.2" thickBot="1" x14ac:dyDescent="0.35">
      <c r="A13" s="40" t="s">
        <v>534</v>
      </c>
      <c r="B13" s="35" t="s">
        <v>3</v>
      </c>
      <c r="C13" s="41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 t="s">
        <v>549</v>
      </c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</row>
    <row r="14" spans="1:194" customFormat="1" ht="16.8" thickBot="1" x14ac:dyDescent="0.35">
      <c r="A14" s="39" t="s">
        <v>531</v>
      </c>
      <c r="B14" s="42" t="s">
        <v>3</v>
      </c>
      <c r="C14" s="43"/>
      <c r="D14" s="44"/>
      <c r="E14" s="29" t="s">
        <v>37</v>
      </c>
      <c r="F14" s="29" t="s">
        <v>37</v>
      </c>
      <c r="G14" s="29" t="s">
        <v>37</v>
      </c>
      <c r="H14" s="29" t="s">
        <v>37</v>
      </c>
      <c r="I14" s="29" t="s">
        <v>37</v>
      </c>
      <c r="J14" s="29" t="s">
        <v>37</v>
      </c>
      <c r="K14" s="29" t="s">
        <v>37</v>
      </c>
      <c r="L14" s="29" t="s">
        <v>37</v>
      </c>
      <c r="M14" s="29" t="s">
        <v>37</v>
      </c>
      <c r="N14" s="29" t="s">
        <v>37</v>
      </c>
      <c r="O14" s="29" t="s">
        <v>37</v>
      </c>
      <c r="P14" s="29" t="s">
        <v>37</v>
      </c>
      <c r="Q14" s="29" t="s">
        <v>37</v>
      </c>
      <c r="R14" s="29" t="s">
        <v>37</v>
      </c>
      <c r="S14" s="29" t="s">
        <v>37</v>
      </c>
      <c r="T14" s="29" t="s">
        <v>37</v>
      </c>
      <c r="U14" s="29" t="s">
        <v>37</v>
      </c>
      <c r="V14" s="29" t="s">
        <v>37</v>
      </c>
      <c r="W14" s="29" t="s">
        <v>37</v>
      </c>
      <c r="X14" s="29" t="s">
        <v>37</v>
      </c>
      <c r="Y14" s="29" t="s">
        <v>37</v>
      </c>
      <c r="Z14" s="29" t="s">
        <v>37</v>
      </c>
      <c r="AA14" s="29" t="s">
        <v>37</v>
      </c>
      <c r="AB14" s="29" t="s">
        <v>37</v>
      </c>
      <c r="AC14" s="29" t="s">
        <v>37</v>
      </c>
      <c r="AD14" s="30" t="s">
        <v>537</v>
      </c>
      <c r="AE14" s="30" t="s">
        <v>537</v>
      </c>
      <c r="AF14" s="30" t="s">
        <v>537</v>
      </c>
      <c r="AG14" s="30" t="s">
        <v>539</v>
      </c>
      <c r="AH14" s="30" t="s">
        <v>539</v>
      </c>
      <c r="AI14" s="30" t="s">
        <v>539</v>
      </c>
      <c r="AJ14" s="30" t="s">
        <v>539</v>
      </c>
      <c r="AK14" s="30" t="s">
        <v>537</v>
      </c>
      <c r="AL14" s="30" t="s">
        <v>537</v>
      </c>
      <c r="AM14" s="30" t="s">
        <v>537</v>
      </c>
      <c r="AN14" s="30" t="s">
        <v>539</v>
      </c>
      <c r="AO14" s="30" t="s">
        <v>539</v>
      </c>
      <c r="AP14" s="30" t="s">
        <v>539</v>
      </c>
      <c r="AQ14" s="30" t="s">
        <v>539</v>
      </c>
      <c r="AR14" s="30" t="s">
        <v>537</v>
      </c>
      <c r="AS14" s="30" t="s">
        <v>537</v>
      </c>
      <c r="AT14" s="30" t="s">
        <v>537</v>
      </c>
      <c r="AU14" s="30" t="s">
        <v>539</v>
      </c>
      <c r="AV14" s="30" t="s">
        <v>539</v>
      </c>
      <c r="AW14" s="30" t="s">
        <v>539</v>
      </c>
      <c r="AX14" s="30" t="s">
        <v>539</v>
      </c>
      <c r="AY14" s="30" t="s">
        <v>537</v>
      </c>
      <c r="AZ14" s="30" t="s">
        <v>537</v>
      </c>
      <c r="BA14" s="30" t="s">
        <v>537</v>
      </c>
      <c r="BB14" s="30" t="s">
        <v>539</v>
      </c>
      <c r="BC14" s="30" t="s">
        <v>539</v>
      </c>
      <c r="BD14" s="30" t="s">
        <v>539</v>
      </c>
      <c r="BE14" s="30" t="s">
        <v>539</v>
      </c>
      <c r="BF14" s="45" t="s">
        <v>37</v>
      </c>
      <c r="BG14" s="45" t="s">
        <v>37</v>
      </c>
      <c r="BH14" s="45" t="s">
        <v>37</v>
      </c>
      <c r="BI14" s="45" t="s">
        <v>37</v>
      </c>
      <c r="BJ14" s="45" t="s">
        <v>37</v>
      </c>
      <c r="BK14" s="45" t="s">
        <v>37</v>
      </c>
      <c r="BL14" s="45" t="s">
        <v>37</v>
      </c>
      <c r="BM14" s="45" t="s">
        <v>37</v>
      </c>
      <c r="BN14" s="45" t="s">
        <v>37</v>
      </c>
      <c r="BO14" s="45" t="s">
        <v>37</v>
      </c>
      <c r="BP14" s="45" t="s">
        <v>37</v>
      </c>
      <c r="BQ14" s="45" t="s">
        <v>37</v>
      </c>
      <c r="BR14" s="45" t="s">
        <v>37</v>
      </c>
      <c r="BS14" s="45" t="s">
        <v>37</v>
      </c>
      <c r="BT14" s="45" t="s">
        <v>37</v>
      </c>
      <c r="BU14" s="45" t="s">
        <v>37</v>
      </c>
      <c r="BV14" s="45" t="s">
        <v>37</v>
      </c>
      <c r="BW14" s="45" t="s">
        <v>37</v>
      </c>
      <c r="BX14" s="45" t="s">
        <v>37</v>
      </c>
      <c r="BY14" s="45" t="s">
        <v>37</v>
      </c>
      <c r="BZ14" s="45" t="s">
        <v>37</v>
      </c>
      <c r="CA14" s="45" t="s">
        <v>37</v>
      </c>
      <c r="CB14" s="45" t="s">
        <v>37</v>
      </c>
      <c r="CC14" s="30" t="s">
        <v>537</v>
      </c>
      <c r="CD14" s="30" t="s">
        <v>537</v>
      </c>
      <c r="CE14" s="30" t="s">
        <v>537</v>
      </c>
      <c r="CF14" s="30" t="s">
        <v>539</v>
      </c>
      <c r="CG14" s="30" t="s">
        <v>539</v>
      </c>
      <c r="CH14" s="30" t="s">
        <v>539</v>
      </c>
      <c r="CI14" s="30" t="s">
        <v>539</v>
      </c>
      <c r="CJ14" s="45" t="s">
        <v>37</v>
      </c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</row>
    <row r="15" spans="1:194" customFormat="1" ht="16.8" thickBot="1" x14ac:dyDescent="0.35">
      <c r="A15" s="39" t="s">
        <v>535</v>
      </c>
      <c r="B15" s="42" t="s">
        <v>55</v>
      </c>
      <c r="C15" s="43"/>
      <c r="D15" s="44"/>
      <c r="E15" s="44" t="s">
        <v>613</v>
      </c>
      <c r="F15" s="44" t="s">
        <v>613</v>
      </c>
      <c r="G15" s="44" t="s">
        <v>613</v>
      </c>
      <c r="H15" s="44" t="s">
        <v>613</v>
      </c>
      <c r="I15" s="44" t="s">
        <v>613</v>
      </c>
      <c r="J15" s="44" t="s">
        <v>613</v>
      </c>
      <c r="K15" s="44" t="s">
        <v>613</v>
      </c>
      <c r="L15" s="44" t="s">
        <v>613</v>
      </c>
      <c r="M15" s="44" t="s">
        <v>613</v>
      </c>
      <c r="N15" s="44" t="s">
        <v>536</v>
      </c>
      <c r="O15" s="44" t="s">
        <v>536</v>
      </c>
      <c r="P15" s="44" t="s">
        <v>536</v>
      </c>
      <c r="Q15" s="44" t="s">
        <v>536</v>
      </c>
      <c r="R15" s="44" t="s">
        <v>536</v>
      </c>
      <c r="S15" s="44" t="s">
        <v>536</v>
      </c>
      <c r="T15" s="44" t="s">
        <v>536</v>
      </c>
      <c r="U15" s="44" t="s">
        <v>613</v>
      </c>
      <c r="V15" s="44" t="s">
        <v>613</v>
      </c>
      <c r="W15" s="44" t="s">
        <v>613</v>
      </c>
      <c r="X15" s="44" t="s">
        <v>613</v>
      </c>
      <c r="Y15" s="44" t="s">
        <v>613</v>
      </c>
      <c r="Z15" s="44" t="s">
        <v>613</v>
      </c>
      <c r="AA15" s="44" t="s">
        <v>613</v>
      </c>
      <c r="AB15" s="44" t="s">
        <v>613</v>
      </c>
      <c r="AC15" s="44" t="s">
        <v>613</v>
      </c>
      <c r="AD15" s="30" t="s">
        <v>538</v>
      </c>
      <c r="AE15" s="30" t="s">
        <v>538</v>
      </c>
      <c r="AF15" s="30" t="s">
        <v>538</v>
      </c>
      <c r="AG15" s="30" t="s">
        <v>538</v>
      </c>
      <c r="AH15" s="30" t="s">
        <v>538</v>
      </c>
      <c r="AI15" s="30" t="s">
        <v>538</v>
      </c>
      <c r="AJ15" s="30" t="s">
        <v>538</v>
      </c>
      <c r="AK15" s="30" t="s">
        <v>538</v>
      </c>
      <c r="AL15" s="30" t="s">
        <v>538</v>
      </c>
      <c r="AM15" s="30" t="s">
        <v>538</v>
      </c>
      <c r="AN15" s="30" t="s">
        <v>538</v>
      </c>
      <c r="AO15" s="30" t="s">
        <v>538</v>
      </c>
      <c r="AP15" s="30" t="s">
        <v>538</v>
      </c>
      <c r="AQ15" s="30" t="s">
        <v>538</v>
      </c>
      <c r="AR15" s="30" t="s">
        <v>538</v>
      </c>
      <c r="AS15" s="30" t="s">
        <v>538</v>
      </c>
      <c r="AT15" s="30" t="s">
        <v>538</v>
      </c>
      <c r="AU15" s="30" t="s">
        <v>538</v>
      </c>
      <c r="AV15" s="30" t="s">
        <v>538</v>
      </c>
      <c r="AW15" s="30" t="s">
        <v>538</v>
      </c>
      <c r="AX15" s="30" t="s">
        <v>538</v>
      </c>
      <c r="AY15" s="30" t="s">
        <v>538</v>
      </c>
      <c r="AZ15" s="30" t="s">
        <v>538</v>
      </c>
      <c r="BA15" s="30" t="s">
        <v>538</v>
      </c>
      <c r="BB15" s="30" t="s">
        <v>538</v>
      </c>
      <c r="BC15" s="30" t="s">
        <v>538</v>
      </c>
      <c r="BD15" s="30" t="s">
        <v>538</v>
      </c>
      <c r="BE15" s="30" t="s">
        <v>538</v>
      </c>
      <c r="BF15" s="30" t="s">
        <v>538</v>
      </c>
      <c r="BG15" s="30" t="s">
        <v>538</v>
      </c>
      <c r="BH15" s="30" t="s">
        <v>538</v>
      </c>
      <c r="BI15" s="30" t="s">
        <v>538</v>
      </c>
      <c r="BJ15" s="30" t="s">
        <v>538</v>
      </c>
      <c r="BK15" s="30" t="s">
        <v>538</v>
      </c>
      <c r="BL15" s="30" t="s">
        <v>538</v>
      </c>
      <c r="BM15" s="44" t="s">
        <v>536</v>
      </c>
      <c r="BN15" s="44" t="s">
        <v>536</v>
      </c>
      <c r="BO15" s="44" t="s">
        <v>536</v>
      </c>
      <c r="BP15" s="44" t="s">
        <v>536</v>
      </c>
      <c r="BQ15" s="44" t="s">
        <v>536</v>
      </c>
      <c r="BR15" s="44" t="s">
        <v>536</v>
      </c>
      <c r="BS15" s="44" t="s">
        <v>536</v>
      </c>
      <c r="BT15" s="44" t="s">
        <v>536</v>
      </c>
      <c r="BU15" s="44" t="s">
        <v>536</v>
      </c>
      <c r="BV15" s="30" t="s">
        <v>538</v>
      </c>
      <c r="BW15" s="30" t="s">
        <v>538</v>
      </c>
      <c r="BX15" s="30" t="s">
        <v>538</v>
      </c>
      <c r="BY15" s="30" t="s">
        <v>538</v>
      </c>
      <c r="BZ15" s="30" t="s">
        <v>538</v>
      </c>
      <c r="CA15" s="30" t="s">
        <v>538</v>
      </c>
      <c r="CB15" s="30" t="s">
        <v>538</v>
      </c>
      <c r="CC15" s="30" t="s">
        <v>538</v>
      </c>
      <c r="CD15" s="30" t="s">
        <v>538</v>
      </c>
      <c r="CE15" s="30" t="s">
        <v>538</v>
      </c>
      <c r="CF15" s="30" t="s">
        <v>538</v>
      </c>
      <c r="CG15" s="30" t="s">
        <v>538</v>
      </c>
      <c r="CH15" s="30" t="s">
        <v>538</v>
      </c>
      <c r="CI15" s="30" t="s">
        <v>538</v>
      </c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</row>
    <row r="16" spans="1:194" customFormat="1" ht="25.8" customHeight="1" thickBot="1" x14ac:dyDescent="0.35">
      <c r="A16" s="39" t="s">
        <v>532</v>
      </c>
      <c r="B16" s="42" t="s">
        <v>3</v>
      </c>
      <c r="C16" s="43"/>
      <c r="D16" s="44"/>
      <c r="E16" s="44" t="s">
        <v>540</v>
      </c>
      <c r="F16" s="44" t="s">
        <v>540</v>
      </c>
      <c r="G16" s="44" t="s">
        <v>540</v>
      </c>
      <c r="H16" s="44" t="s">
        <v>540</v>
      </c>
      <c r="I16" s="44" t="s">
        <v>540</v>
      </c>
      <c r="J16" s="44" t="s">
        <v>540</v>
      </c>
      <c r="K16" s="44" t="s">
        <v>540</v>
      </c>
      <c r="L16" s="44" t="s">
        <v>540</v>
      </c>
      <c r="M16" s="44" t="s">
        <v>540</v>
      </c>
      <c r="N16" s="44" t="s">
        <v>540</v>
      </c>
      <c r="O16" s="44" t="s">
        <v>540</v>
      </c>
      <c r="P16" s="44" t="s">
        <v>540</v>
      </c>
      <c r="Q16" s="44" t="s">
        <v>540</v>
      </c>
      <c r="R16" s="44" t="s">
        <v>540</v>
      </c>
      <c r="S16" s="44" t="s">
        <v>540</v>
      </c>
      <c r="T16" s="44" t="s">
        <v>540</v>
      </c>
      <c r="U16" s="44" t="s">
        <v>540</v>
      </c>
      <c r="V16" s="44" t="s">
        <v>540</v>
      </c>
      <c r="W16" s="44" t="s">
        <v>540</v>
      </c>
      <c r="X16" s="44" t="s">
        <v>540</v>
      </c>
      <c r="Y16" s="44" t="s">
        <v>540</v>
      </c>
      <c r="Z16" s="44" t="s">
        <v>540</v>
      </c>
      <c r="AA16" s="44" t="s">
        <v>540</v>
      </c>
      <c r="AB16" s="44" t="s">
        <v>540</v>
      </c>
      <c r="AC16" s="44" t="s">
        <v>540</v>
      </c>
      <c r="AD16" s="44" t="s">
        <v>540</v>
      </c>
      <c r="AE16" s="44" t="s">
        <v>540</v>
      </c>
      <c r="AF16" s="44" t="s">
        <v>540</v>
      </c>
      <c r="AG16" s="44" t="s">
        <v>540</v>
      </c>
      <c r="AH16" s="44" t="s">
        <v>540</v>
      </c>
      <c r="AI16" s="44" t="s">
        <v>540</v>
      </c>
      <c r="AJ16" s="44" t="s">
        <v>540</v>
      </c>
      <c r="AK16" s="44" t="s">
        <v>540</v>
      </c>
      <c r="AL16" s="44" t="s">
        <v>540</v>
      </c>
      <c r="AM16" s="44" t="s">
        <v>540</v>
      </c>
      <c r="AN16" s="44" t="s">
        <v>540</v>
      </c>
      <c r="AO16" s="44" t="s">
        <v>540</v>
      </c>
      <c r="AP16" s="44" t="s">
        <v>540</v>
      </c>
      <c r="AQ16" s="44" t="s">
        <v>540</v>
      </c>
      <c r="AR16" s="44" t="s">
        <v>540</v>
      </c>
      <c r="AS16" s="44" t="s">
        <v>540</v>
      </c>
      <c r="AT16" s="44" t="s">
        <v>540</v>
      </c>
      <c r="AU16" s="44" t="s">
        <v>540</v>
      </c>
      <c r="AV16" s="44" t="s">
        <v>540</v>
      </c>
      <c r="AW16" s="44" t="s">
        <v>540</v>
      </c>
      <c r="AX16" s="44" t="s">
        <v>540</v>
      </c>
      <c r="AY16" s="44" t="s">
        <v>540</v>
      </c>
      <c r="AZ16" s="44" t="s">
        <v>540</v>
      </c>
      <c r="BA16" s="44" t="s">
        <v>540</v>
      </c>
      <c r="BB16" s="44" t="s">
        <v>540</v>
      </c>
      <c r="BC16" s="44" t="s">
        <v>540</v>
      </c>
      <c r="BD16" s="44" t="s">
        <v>540</v>
      </c>
      <c r="BE16" s="44" t="s">
        <v>540</v>
      </c>
      <c r="BF16" s="44" t="s">
        <v>540</v>
      </c>
      <c r="BG16" s="44" t="s">
        <v>540</v>
      </c>
      <c r="BH16" s="44" t="s">
        <v>540</v>
      </c>
      <c r="BI16" s="44" t="s">
        <v>540</v>
      </c>
      <c r="BJ16" s="44" t="s">
        <v>540</v>
      </c>
      <c r="BK16" s="44" t="s">
        <v>540</v>
      </c>
      <c r="BL16" s="44" t="s">
        <v>540</v>
      </c>
      <c r="BM16" s="44" t="s">
        <v>540</v>
      </c>
      <c r="BN16" s="44" t="s">
        <v>540</v>
      </c>
      <c r="BO16" s="44" t="s">
        <v>540</v>
      </c>
      <c r="BP16" s="44" t="s">
        <v>540</v>
      </c>
      <c r="BQ16" s="44" t="s">
        <v>540</v>
      </c>
      <c r="BR16" s="44" t="s">
        <v>540</v>
      </c>
      <c r="BS16" s="44" t="s">
        <v>540</v>
      </c>
      <c r="BT16" s="44" t="s">
        <v>540</v>
      </c>
      <c r="BU16" s="44" t="s">
        <v>540</v>
      </c>
      <c r="BV16" s="44" t="s">
        <v>540</v>
      </c>
      <c r="BW16" s="44" t="s">
        <v>540</v>
      </c>
      <c r="BX16" s="44" t="s">
        <v>540</v>
      </c>
      <c r="BY16" s="44" t="s">
        <v>540</v>
      </c>
      <c r="BZ16" s="44" t="s">
        <v>540</v>
      </c>
      <c r="CA16" s="44" t="s">
        <v>540</v>
      </c>
      <c r="CB16" s="44" t="s">
        <v>540</v>
      </c>
      <c r="CC16" s="44" t="s">
        <v>540</v>
      </c>
      <c r="CD16" s="44" t="s">
        <v>540</v>
      </c>
      <c r="CE16" s="44" t="s">
        <v>540</v>
      </c>
      <c r="CF16" s="44" t="s">
        <v>540</v>
      </c>
      <c r="CG16" s="44" t="s">
        <v>540</v>
      </c>
      <c r="CH16" s="44" t="s">
        <v>540</v>
      </c>
      <c r="CI16" s="44" t="s">
        <v>540</v>
      </c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</row>
    <row r="17" spans="1:193" s="52" customFormat="1" ht="24.6" thickBot="1" x14ac:dyDescent="0.35">
      <c r="A17" s="52" t="s">
        <v>552</v>
      </c>
      <c r="B17" s="52" t="s">
        <v>60</v>
      </c>
      <c r="C17" s="53">
        <v>28000</v>
      </c>
      <c r="D17" s="54" t="s">
        <v>553</v>
      </c>
      <c r="E17" s="56">
        <f>37780/2</f>
        <v>18890</v>
      </c>
      <c r="F17" s="56">
        <f>42780/2</f>
        <v>21390</v>
      </c>
      <c r="G17" s="56">
        <f>48780/2</f>
        <v>24390</v>
      </c>
      <c r="H17" s="56">
        <f>53780/2</f>
        <v>26890</v>
      </c>
      <c r="I17" s="56">
        <f>60180/2</f>
        <v>30090</v>
      </c>
      <c r="J17" s="56">
        <f>69180/2</f>
        <v>34590</v>
      </c>
      <c r="K17" s="56">
        <f>74180/2</f>
        <v>37090</v>
      </c>
      <c r="L17" s="56">
        <f>87180/2</f>
        <v>43590</v>
      </c>
      <c r="M17" s="56">
        <f>96180/2</f>
        <v>48090</v>
      </c>
      <c r="N17" s="57">
        <v>17280</v>
      </c>
      <c r="O17" s="57">
        <v>19080</v>
      </c>
      <c r="P17" s="57">
        <v>22080</v>
      </c>
      <c r="Q17" s="57">
        <v>24380</v>
      </c>
      <c r="R17" s="57">
        <v>27720</v>
      </c>
      <c r="S17" s="57">
        <v>30220</v>
      </c>
      <c r="T17" s="57">
        <v>33520</v>
      </c>
      <c r="U17" s="57">
        <v>18180</v>
      </c>
      <c r="V17" s="57">
        <v>19980</v>
      </c>
      <c r="W17" s="57">
        <v>23680</v>
      </c>
      <c r="X17" s="57">
        <v>24780</v>
      </c>
      <c r="Y17" s="57">
        <v>27920</v>
      </c>
      <c r="Z17" s="57">
        <v>30220</v>
      </c>
      <c r="AA17" s="57">
        <v>32720</v>
      </c>
      <c r="AB17" s="57">
        <v>37520</v>
      </c>
      <c r="AC17" s="57">
        <v>41520</v>
      </c>
      <c r="AD17" s="57">
        <f>35780/2</f>
        <v>17890</v>
      </c>
      <c r="AE17" s="57">
        <f>39780/2</f>
        <v>19890</v>
      </c>
      <c r="AF17" s="57">
        <f>46780/2</f>
        <v>23390</v>
      </c>
      <c r="AG17" s="57">
        <f>49780/2</f>
        <v>24890</v>
      </c>
      <c r="AH17" s="57">
        <f>58180/2</f>
        <v>29090</v>
      </c>
      <c r="AI17" s="57">
        <f>66180/2</f>
        <v>33090</v>
      </c>
      <c r="AJ17" s="57">
        <f>71180/2</f>
        <v>35590</v>
      </c>
      <c r="AK17" s="57">
        <v>14080</v>
      </c>
      <c r="AL17" s="57">
        <v>16180</v>
      </c>
      <c r="AM17" s="57">
        <v>17480</v>
      </c>
      <c r="AN17" s="57">
        <v>19980</v>
      </c>
      <c r="AO17" s="57">
        <v>23820</v>
      </c>
      <c r="AP17" s="57">
        <v>27220</v>
      </c>
      <c r="AQ17" s="57">
        <v>30220</v>
      </c>
      <c r="AR17" s="57">
        <f>27780/2</f>
        <v>13890</v>
      </c>
      <c r="AS17" s="57">
        <f>30780/2</f>
        <v>15390</v>
      </c>
      <c r="AT17" s="57">
        <f>33780/2</f>
        <v>16890</v>
      </c>
      <c r="AU17" s="57">
        <f>40780/2</f>
        <v>20390</v>
      </c>
      <c r="AV17" s="57">
        <f>49180/2</f>
        <v>24590</v>
      </c>
      <c r="AW17" s="57">
        <f>57180/2</f>
        <v>28590</v>
      </c>
      <c r="AX17" s="57">
        <f>64180/2</f>
        <v>32090</v>
      </c>
      <c r="AY17" s="57">
        <v>12980</v>
      </c>
      <c r="AZ17" s="57">
        <v>14080</v>
      </c>
      <c r="BA17" s="57">
        <v>15380</v>
      </c>
      <c r="BB17" s="57">
        <v>18280</v>
      </c>
      <c r="BC17" s="57">
        <v>21520</v>
      </c>
      <c r="BD17" s="57">
        <v>24320</v>
      </c>
      <c r="BE17" s="57">
        <v>27320</v>
      </c>
      <c r="BF17" s="57">
        <v>16680</v>
      </c>
      <c r="BG17" s="57">
        <v>17980</v>
      </c>
      <c r="BH17" s="57">
        <v>20280</v>
      </c>
      <c r="BI17" s="57">
        <v>22080</v>
      </c>
      <c r="BJ17" s="57">
        <v>25020</v>
      </c>
      <c r="BK17" s="57">
        <v>25620</v>
      </c>
      <c r="BL17" s="57">
        <v>27720</v>
      </c>
      <c r="BM17" s="57">
        <v>17280</v>
      </c>
      <c r="BN17" s="57">
        <v>19080</v>
      </c>
      <c r="BO17" s="57">
        <v>22080</v>
      </c>
      <c r="BP17" s="57">
        <v>24380</v>
      </c>
      <c r="BQ17" s="57">
        <v>27720</v>
      </c>
      <c r="BR17" s="57">
        <v>30220</v>
      </c>
      <c r="BS17" s="57">
        <v>33520</v>
      </c>
      <c r="BT17" s="57">
        <v>34100</v>
      </c>
      <c r="BU17" s="57">
        <v>38100</v>
      </c>
      <c r="BV17" s="57">
        <v>16680</v>
      </c>
      <c r="BW17" s="57">
        <v>17980</v>
      </c>
      <c r="BX17" s="57">
        <v>20280</v>
      </c>
      <c r="BY17" s="57">
        <v>22080</v>
      </c>
      <c r="BZ17" s="57">
        <v>25020</v>
      </c>
      <c r="CA17" s="57">
        <v>25620</v>
      </c>
      <c r="CB17" s="57">
        <v>27720</v>
      </c>
      <c r="CC17" s="57">
        <v>12980</v>
      </c>
      <c r="CD17" s="57">
        <v>14080</v>
      </c>
      <c r="CE17" s="57">
        <v>15380</v>
      </c>
      <c r="CF17" s="57">
        <v>18280</v>
      </c>
      <c r="CG17" s="57">
        <v>21520</v>
      </c>
      <c r="CH17" s="57">
        <v>24320</v>
      </c>
      <c r="CI17" s="57">
        <v>27320</v>
      </c>
      <c r="CJ17" s="57">
        <v>26200</v>
      </c>
      <c r="CK17" s="57">
        <v>27200</v>
      </c>
      <c r="CL17" s="57">
        <v>28700</v>
      </c>
      <c r="CM17" s="57">
        <v>30600</v>
      </c>
      <c r="CN17" s="57">
        <v>32800</v>
      </c>
      <c r="CO17" s="57">
        <v>35200</v>
      </c>
      <c r="CP17" s="57">
        <v>29000</v>
      </c>
      <c r="CQ17" s="57">
        <v>29900</v>
      </c>
      <c r="CR17" s="57">
        <v>31500</v>
      </c>
      <c r="CS17" s="57">
        <v>33400</v>
      </c>
      <c r="CT17" s="57">
        <v>35700</v>
      </c>
      <c r="CU17" s="57">
        <v>38100</v>
      </c>
      <c r="CV17" s="57">
        <v>34800</v>
      </c>
      <c r="CW17" s="57">
        <v>36100</v>
      </c>
      <c r="CX17" s="57">
        <v>37200</v>
      </c>
      <c r="CY17" s="57">
        <v>39000</v>
      </c>
      <c r="CZ17" s="57">
        <v>40100</v>
      </c>
      <c r="DA17" s="57">
        <v>43700</v>
      </c>
      <c r="DB17" s="57">
        <v>48300</v>
      </c>
      <c r="DC17" s="57">
        <v>51200</v>
      </c>
      <c r="DD17" s="57">
        <v>53800</v>
      </c>
      <c r="DE17" s="57">
        <v>62700</v>
      </c>
      <c r="DF17" s="57">
        <v>36000</v>
      </c>
      <c r="DG17" s="57">
        <v>37100</v>
      </c>
      <c r="DH17" s="57">
        <v>38300</v>
      </c>
      <c r="DI17" s="57">
        <v>40100</v>
      </c>
      <c r="DJ17" s="57">
        <v>41100</v>
      </c>
      <c r="DK17" s="57">
        <v>44700</v>
      </c>
      <c r="DL17" s="57">
        <v>49300</v>
      </c>
      <c r="DM17" s="57">
        <v>52300</v>
      </c>
      <c r="DN17" s="57">
        <v>54800</v>
      </c>
      <c r="DO17" s="57">
        <v>63800</v>
      </c>
      <c r="DP17" s="57">
        <v>92800</v>
      </c>
      <c r="DQ17" s="57">
        <v>98000</v>
      </c>
      <c r="DR17" s="57">
        <v>110000</v>
      </c>
      <c r="DS17" s="57">
        <v>116000</v>
      </c>
      <c r="DT17" s="57">
        <v>108100</v>
      </c>
      <c r="DU17" s="57">
        <v>129800</v>
      </c>
      <c r="DV17" s="57">
        <v>140900</v>
      </c>
      <c r="DW17" s="57">
        <v>57100</v>
      </c>
      <c r="DX17" s="57">
        <v>79500</v>
      </c>
      <c r="DY17" s="57">
        <v>113200</v>
      </c>
      <c r="DZ17" s="57">
        <v>120300</v>
      </c>
      <c r="EA17" s="57">
        <v>105000</v>
      </c>
      <c r="EB17" s="57">
        <v>40000</v>
      </c>
      <c r="EC17" s="57">
        <v>41400</v>
      </c>
      <c r="ED17" s="57">
        <v>43100</v>
      </c>
      <c r="EE17" s="57">
        <v>44300</v>
      </c>
      <c r="EF17" s="57">
        <v>45400</v>
      </c>
      <c r="EG17" s="57">
        <v>50000</v>
      </c>
      <c r="EH17" s="57">
        <v>52900</v>
      </c>
      <c r="EI17" s="57">
        <v>55500</v>
      </c>
      <c r="EJ17" s="57">
        <v>64400</v>
      </c>
      <c r="EK17" s="57">
        <v>43200</v>
      </c>
      <c r="EL17" s="57">
        <v>45300</v>
      </c>
      <c r="EM17" s="57">
        <v>47700</v>
      </c>
      <c r="EN17" s="57">
        <v>48400</v>
      </c>
      <c r="EO17" s="57">
        <v>49100</v>
      </c>
      <c r="EP17" s="57">
        <v>53100</v>
      </c>
      <c r="EQ17" s="57">
        <v>56300</v>
      </c>
      <c r="ER17" s="57">
        <v>59500</v>
      </c>
      <c r="ES17" s="57">
        <v>69500</v>
      </c>
      <c r="ET17" s="57">
        <v>34300</v>
      </c>
      <c r="EU17" s="57">
        <v>35400</v>
      </c>
      <c r="EV17" s="57">
        <v>36500</v>
      </c>
      <c r="EW17" s="57">
        <v>36800</v>
      </c>
      <c r="EX17" s="57">
        <v>37000</v>
      </c>
      <c r="EY17" s="57">
        <v>42100</v>
      </c>
      <c r="EZ17" s="57">
        <v>45300</v>
      </c>
      <c r="FA17" s="57">
        <v>51300</v>
      </c>
      <c r="FB17" s="57">
        <v>59800</v>
      </c>
      <c r="FC17" s="57">
        <v>185000</v>
      </c>
      <c r="FD17" s="60" t="s">
        <v>37</v>
      </c>
      <c r="FE17" s="60" t="s">
        <v>37</v>
      </c>
      <c r="FF17" s="57">
        <v>34500</v>
      </c>
      <c r="FG17" s="57">
        <v>38500</v>
      </c>
      <c r="FH17" s="57">
        <v>39900</v>
      </c>
      <c r="FI17" s="57">
        <v>41100</v>
      </c>
      <c r="FJ17" s="57">
        <v>42300</v>
      </c>
      <c r="FK17" s="57">
        <v>42000</v>
      </c>
      <c r="FL17" s="57">
        <v>44200</v>
      </c>
      <c r="FM17" s="57">
        <v>45800</v>
      </c>
      <c r="FN17" s="57">
        <v>46900</v>
      </c>
      <c r="FO17" s="57">
        <v>49800</v>
      </c>
      <c r="FP17" s="57">
        <v>54800</v>
      </c>
      <c r="FQ17" s="57">
        <v>61300</v>
      </c>
      <c r="FR17" s="57">
        <v>66800</v>
      </c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</row>
    <row r="18" spans="1:193" s="40" customFormat="1" ht="12" x14ac:dyDescent="0.3">
      <c r="A18" s="58" t="s">
        <v>557</v>
      </c>
      <c r="C18" s="41"/>
      <c r="E18" s="41"/>
      <c r="CJ18" s="40" t="s">
        <v>561</v>
      </c>
      <c r="CK18" s="40" t="s">
        <v>561</v>
      </c>
      <c r="CL18" s="40" t="s">
        <v>561</v>
      </c>
      <c r="CM18" s="40" t="s">
        <v>561</v>
      </c>
      <c r="CN18" s="40" t="s">
        <v>561</v>
      </c>
      <c r="CO18" s="40" t="s">
        <v>561</v>
      </c>
      <c r="CP18" s="40" t="s">
        <v>561</v>
      </c>
      <c r="CQ18" s="40" t="s">
        <v>561</v>
      </c>
      <c r="CR18" s="40" t="s">
        <v>561</v>
      </c>
      <c r="CS18" s="40" t="s">
        <v>561</v>
      </c>
      <c r="CT18" s="40" t="s">
        <v>561</v>
      </c>
      <c r="CU18" s="40" t="s">
        <v>561</v>
      </c>
      <c r="CV18" s="40" t="s">
        <v>561</v>
      </c>
      <c r="CW18" s="40" t="s">
        <v>561</v>
      </c>
      <c r="CX18" s="40" t="s">
        <v>561</v>
      </c>
      <c r="CY18" s="40" t="s">
        <v>561</v>
      </c>
      <c r="CZ18" s="40" t="s">
        <v>561</v>
      </c>
      <c r="DA18" s="40" t="s">
        <v>561</v>
      </c>
      <c r="DB18" s="40" t="s">
        <v>561</v>
      </c>
      <c r="DC18" s="40" t="s">
        <v>561</v>
      </c>
      <c r="DD18" s="40" t="s">
        <v>561</v>
      </c>
      <c r="DE18" s="40" t="s">
        <v>561</v>
      </c>
      <c r="DF18" s="40" t="s">
        <v>561</v>
      </c>
      <c r="DG18" s="40" t="s">
        <v>561</v>
      </c>
      <c r="DH18" s="40" t="s">
        <v>561</v>
      </c>
      <c r="DI18" s="40" t="s">
        <v>561</v>
      </c>
      <c r="DJ18" s="40" t="s">
        <v>561</v>
      </c>
      <c r="DK18" s="40" t="s">
        <v>561</v>
      </c>
      <c r="DL18" s="40" t="s">
        <v>561</v>
      </c>
      <c r="DM18" s="40" t="s">
        <v>561</v>
      </c>
      <c r="DN18" s="40" t="s">
        <v>561</v>
      </c>
      <c r="DO18" s="40" t="s">
        <v>561</v>
      </c>
      <c r="DP18" s="40" t="s">
        <v>561</v>
      </c>
      <c r="DQ18" s="40" t="s">
        <v>561</v>
      </c>
      <c r="DR18" s="40" t="s">
        <v>561</v>
      </c>
      <c r="DS18" s="40" t="s">
        <v>561</v>
      </c>
      <c r="DT18" s="40" t="s">
        <v>561</v>
      </c>
      <c r="DU18" s="40" t="s">
        <v>561</v>
      </c>
      <c r="DV18" s="40" t="s">
        <v>561</v>
      </c>
      <c r="DW18" s="40" t="s">
        <v>561</v>
      </c>
      <c r="DX18" s="40" t="s">
        <v>561</v>
      </c>
      <c r="DY18" s="40" t="s">
        <v>561</v>
      </c>
      <c r="DZ18" s="40" t="s">
        <v>561</v>
      </c>
      <c r="EA18" s="40" t="s">
        <v>561</v>
      </c>
      <c r="EB18" s="40" t="s">
        <v>561</v>
      </c>
      <c r="EC18" s="40" t="s">
        <v>561</v>
      </c>
      <c r="ED18" s="40" t="s">
        <v>561</v>
      </c>
      <c r="EE18" s="40" t="s">
        <v>561</v>
      </c>
      <c r="EF18" s="40" t="s">
        <v>561</v>
      </c>
      <c r="EG18" s="40" t="s">
        <v>561</v>
      </c>
      <c r="EH18" s="40" t="s">
        <v>561</v>
      </c>
      <c r="EI18" s="40" t="s">
        <v>561</v>
      </c>
      <c r="EJ18" s="40" t="s">
        <v>561</v>
      </c>
      <c r="EK18" s="40" t="s">
        <v>561</v>
      </c>
      <c r="EL18" s="40" t="s">
        <v>561</v>
      </c>
      <c r="EM18" s="40" t="s">
        <v>561</v>
      </c>
      <c r="EN18" s="40" t="s">
        <v>561</v>
      </c>
      <c r="EO18" s="40" t="s">
        <v>561</v>
      </c>
      <c r="EP18" s="40" t="s">
        <v>561</v>
      </c>
      <c r="EQ18" s="40" t="s">
        <v>561</v>
      </c>
      <c r="ER18" s="40" t="s">
        <v>561</v>
      </c>
      <c r="ES18" s="40" t="s">
        <v>561</v>
      </c>
      <c r="ET18" s="40" t="s">
        <v>561</v>
      </c>
      <c r="EU18" s="40" t="s">
        <v>561</v>
      </c>
      <c r="EV18" s="40" t="s">
        <v>561</v>
      </c>
      <c r="EW18" s="40" t="s">
        <v>561</v>
      </c>
      <c r="EX18" s="40" t="s">
        <v>561</v>
      </c>
      <c r="EY18" s="40" t="s">
        <v>561</v>
      </c>
      <c r="EZ18" s="40" t="s">
        <v>561</v>
      </c>
      <c r="FA18" s="40" t="s">
        <v>561</v>
      </c>
      <c r="FB18" s="40" t="s">
        <v>561</v>
      </c>
      <c r="FC18" s="59" t="s">
        <v>37</v>
      </c>
      <c r="FF18" s="40" t="s">
        <v>561</v>
      </c>
      <c r="FG18" s="40" t="s">
        <v>561</v>
      </c>
      <c r="FH18" s="40" t="s">
        <v>561</v>
      </c>
      <c r="FI18" s="40" t="s">
        <v>561</v>
      </c>
      <c r="FJ18" s="40" t="s">
        <v>561</v>
      </c>
      <c r="FK18" s="40" t="s">
        <v>561</v>
      </c>
      <c r="FL18" s="40" t="s">
        <v>561</v>
      </c>
      <c r="FM18" s="40" t="s">
        <v>561</v>
      </c>
      <c r="FN18" s="40" t="s">
        <v>561</v>
      </c>
      <c r="FO18" s="40" t="s">
        <v>561</v>
      </c>
      <c r="FP18" s="40" t="s">
        <v>561</v>
      </c>
      <c r="FQ18" s="40" t="s">
        <v>561</v>
      </c>
      <c r="FR18" s="40" t="s">
        <v>561</v>
      </c>
    </row>
    <row r="19" spans="1:193" s="40" customFormat="1" ht="12" x14ac:dyDescent="0.3">
      <c r="A19" s="58" t="s">
        <v>558</v>
      </c>
      <c r="C19" s="41"/>
      <c r="E19" s="41"/>
      <c r="CJ19" s="40" t="s">
        <v>562</v>
      </c>
      <c r="CK19" s="40" t="s">
        <v>562</v>
      </c>
      <c r="CL19" s="40" t="s">
        <v>562</v>
      </c>
      <c r="CM19" s="40" t="s">
        <v>562</v>
      </c>
      <c r="CN19" s="40" t="s">
        <v>562</v>
      </c>
      <c r="CO19" s="40" t="s">
        <v>562</v>
      </c>
      <c r="CP19" s="40" t="s">
        <v>562</v>
      </c>
      <c r="CQ19" s="40" t="s">
        <v>562</v>
      </c>
      <c r="CR19" s="40" t="s">
        <v>562</v>
      </c>
      <c r="CS19" s="40" t="s">
        <v>562</v>
      </c>
      <c r="CT19" s="40" t="s">
        <v>562</v>
      </c>
      <c r="CU19" s="40" t="s">
        <v>562</v>
      </c>
      <c r="CV19" s="40" t="s">
        <v>562</v>
      </c>
      <c r="CW19" s="40" t="s">
        <v>562</v>
      </c>
      <c r="CX19" s="40" t="s">
        <v>562</v>
      </c>
      <c r="CY19" s="40" t="s">
        <v>562</v>
      </c>
      <c r="CZ19" s="40" t="s">
        <v>562</v>
      </c>
      <c r="DA19" s="40" t="s">
        <v>562</v>
      </c>
      <c r="DB19" s="40" t="s">
        <v>562</v>
      </c>
      <c r="DC19" s="40" t="s">
        <v>562</v>
      </c>
      <c r="DD19" s="40" t="s">
        <v>562</v>
      </c>
      <c r="DE19" s="40" t="s">
        <v>562</v>
      </c>
      <c r="DF19" s="40" t="s">
        <v>562</v>
      </c>
      <c r="DG19" s="40" t="s">
        <v>562</v>
      </c>
      <c r="DH19" s="40" t="s">
        <v>562</v>
      </c>
      <c r="DI19" s="40" t="s">
        <v>562</v>
      </c>
      <c r="DJ19" s="40" t="s">
        <v>562</v>
      </c>
      <c r="DK19" s="40" t="s">
        <v>562</v>
      </c>
      <c r="DL19" s="40" t="s">
        <v>562</v>
      </c>
      <c r="DM19" s="40" t="s">
        <v>562</v>
      </c>
      <c r="DN19" s="40" t="s">
        <v>562</v>
      </c>
      <c r="DO19" s="40" t="s">
        <v>562</v>
      </c>
      <c r="DP19" s="40" t="s">
        <v>563</v>
      </c>
      <c r="DQ19" s="40" t="s">
        <v>563</v>
      </c>
      <c r="DR19" s="40" t="s">
        <v>562</v>
      </c>
      <c r="DS19" s="40" t="s">
        <v>562</v>
      </c>
      <c r="EB19" s="40" t="s">
        <v>564</v>
      </c>
      <c r="EC19" s="40" t="s">
        <v>564</v>
      </c>
      <c r="ED19" s="40" t="s">
        <v>564</v>
      </c>
      <c r="EE19" s="40" t="s">
        <v>564</v>
      </c>
      <c r="EF19" s="40" t="s">
        <v>564</v>
      </c>
      <c r="EG19" s="40" t="s">
        <v>564</v>
      </c>
      <c r="EH19" s="40" t="s">
        <v>564</v>
      </c>
      <c r="EI19" s="40" t="s">
        <v>564</v>
      </c>
      <c r="EJ19" s="40" t="s">
        <v>564</v>
      </c>
      <c r="EK19" s="40" t="s">
        <v>564</v>
      </c>
      <c r="EL19" s="40" t="s">
        <v>564</v>
      </c>
      <c r="EM19" s="40" t="s">
        <v>564</v>
      </c>
      <c r="EN19" s="40" t="s">
        <v>564</v>
      </c>
      <c r="EO19" s="40" t="s">
        <v>564</v>
      </c>
      <c r="EP19" s="40" t="s">
        <v>564</v>
      </c>
      <c r="EQ19" s="40" t="s">
        <v>564</v>
      </c>
      <c r="ER19" s="40" t="s">
        <v>564</v>
      </c>
      <c r="ES19" s="40" t="s">
        <v>564</v>
      </c>
      <c r="ET19" s="40" t="s">
        <v>565</v>
      </c>
      <c r="EU19" s="40" t="s">
        <v>565</v>
      </c>
      <c r="EV19" s="40" t="s">
        <v>565</v>
      </c>
      <c r="EW19" s="40" t="s">
        <v>565</v>
      </c>
      <c r="EX19" s="40" t="s">
        <v>565</v>
      </c>
      <c r="EY19" s="40" t="s">
        <v>565</v>
      </c>
      <c r="EZ19" s="40" t="s">
        <v>566</v>
      </c>
      <c r="FA19" s="40" t="s">
        <v>566</v>
      </c>
      <c r="FB19" s="40" t="s">
        <v>566</v>
      </c>
      <c r="FC19" s="59" t="s">
        <v>37</v>
      </c>
      <c r="FF19" s="40" t="s">
        <v>567</v>
      </c>
      <c r="FG19" s="40" t="s">
        <v>567</v>
      </c>
      <c r="FH19" s="40" t="s">
        <v>567</v>
      </c>
      <c r="FI19" s="40" t="s">
        <v>567</v>
      </c>
      <c r="FJ19" s="40" t="s">
        <v>567</v>
      </c>
      <c r="FK19" s="40" t="s">
        <v>568</v>
      </c>
      <c r="FL19" s="40" t="s">
        <v>568</v>
      </c>
      <c r="FM19" s="40" t="s">
        <v>568</v>
      </c>
      <c r="FN19" s="40" t="s">
        <v>568</v>
      </c>
      <c r="FO19" s="40" t="s">
        <v>568</v>
      </c>
      <c r="FP19" s="40" t="s">
        <v>568</v>
      </c>
      <c r="FQ19" s="40" t="s">
        <v>568</v>
      </c>
      <c r="FR19" s="40" t="s">
        <v>568</v>
      </c>
    </row>
    <row r="20" spans="1:193" x14ac:dyDescent="0.3">
      <c r="A20" s="24"/>
      <c r="B20" s="5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506A-09F5-4009-80F2-281B4A4C3425}">
  <dimension ref="A1:T20"/>
  <sheetViews>
    <sheetView zoomScale="70" zoomScaleNormal="70" workbookViewId="0">
      <selection activeCell="Q19" sqref="Q19"/>
    </sheetView>
  </sheetViews>
  <sheetFormatPr defaultRowHeight="16.2" x14ac:dyDescent="0.3"/>
  <cols>
    <col min="1" max="1" width="12.88671875" bestFit="1" customWidth="1"/>
    <col min="2" max="2" width="25.109375" bestFit="1" customWidth="1"/>
    <col min="4" max="4" width="12.88671875" bestFit="1" customWidth="1"/>
    <col min="6" max="6" width="14.21875" customWidth="1"/>
    <col min="7" max="7" width="17.109375" customWidth="1"/>
    <col min="9" max="9" width="12.88671875" bestFit="1" customWidth="1"/>
    <col min="10" max="10" width="10.44140625" customWidth="1"/>
    <col min="12" max="12" width="15.33203125" bestFit="1" customWidth="1"/>
    <col min="15" max="15" width="13.109375" bestFit="1" customWidth="1"/>
    <col min="18" max="18" width="14.6640625" bestFit="1" customWidth="1"/>
    <col min="20" max="20" width="15.6640625" bestFit="1" customWidth="1"/>
  </cols>
  <sheetData>
    <row r="1" spans="1:20" x14ac:dyDescent="0.3">
      <c r="A1" t="s">
        <v>569</v>
      </c>
      <c r="F1" t="s">
        <v>531</v>
      </c>
      <c r="I1" t="s">
        <v>611</v>
      </c>
      <c r="L1" t="s">
        <v>612</v>
      </c>
      <c r="O1" t="s">
        <v>557</v>
      </c>
      <c r="R1" t="s">
        <v>626</v>
      </c>
    </row>
    <row r="2" spans="1:20" x14ac:dyDescent="0.3">
      <c r="A2" t="s">
        <v>605</v>
      </c>
      <c r="B2" t="s">
        <v>606</v>
      </c>
      <c r="C2" t="s">
        <v>607</v>
      </c>
      <c r="D2" t="s">
        <v>610</v>
      </c>
      <c r="F2" t="s">
        <v>605</v>
      </c>
      <c r="G2" t="s">
        <v>607</v>
      </c>
      <c r="I2" t="s">
        <v>605</v>
      </c>
      <c r="J2" t="s">
        <v>607</v>
      </c>
      <c r="L2" t="s">
        <v>605</v>
      </c>
      <c r="M2" t="s">
        <v>607</v>
      </c>
      <c r="O2" t="s">
        <v>605</v>
      </c>
      <c r="P2" t="s">
        <v>607</v>
      </c>
      <c r="R2" t="s">
        <v>605</v>
      </c>
      <c r="S2" t="s">
        <v>607</v>
      </c>
      <c r="T2" t="s">
        <v>610</v>
      </c>
    </row>
    <row r="3" spans="1:20" x14ac:dyDescent="0.3">
      <c r="A3" s="61" t="s">
        <v>570</v>
      </c>
      <c r="B3" s="61" t="s">
        <v>571</v>
      </c>
      <c r="C3">
        <v>11800</v>
      </c>
      <c r="D3" t="s">
        <v>608</v>
      </c>
      <c r="F3" t="s">
        <v>537</v>
      </c>
      <c r="G3">
        <v>1300</v>
      </c>
      <c r="I3" t="s">
        <v>613</v>
      </c>
      <c r="J3">
        <v>1600</v>
      </c>
      <c r="L3" t="s">
        <v>540</v>
      </c>
      <c r="M3">
        <v>4500</v>
      </c>
      <c r="O3" t="s">
        <v>561</v>
      </c>
      <c r="P3">
        <v>4500</v>
      </c>
      <c r="R3" t="s">
        <v>627</v>
      </c>
      <c r="S3">
        <v>1700</v>
      </c>
      <c r="T3" t="s">
        <v>631</v>
      </c>
    </row>
    <row r="4" spans="1:20" x14ac:dyDescent="0.3">
      <c r="A4" s="61" t="s">
        <v>573</v>
      </c>
      <c r="B4" s="61" t="s">
        <v>572</v>
      </c>
      <c r="C4">
        <v>11700</v>
      </c>
      <c r="D4" t="s">
        <v>609</v>
      </c>
      <c r="F4" t="s">
        <v>539</v>
      </c>
      <c r="G4">
        <v>1300</v>
      </c>
      <c r="I4" t="s">
        <v>538</v>
      </c>
      <c r="J4">
        <v>1600</v>
      </c>
      <c r="R4" t="s">
        <v>628</v>
      </c>
      <c r="S4">
        <v>2400</v>
      </c>
      <c r="T4" t="s">
        <v>631</v>
      </c>
    </row>
    <row r="5" spans="1:20" x14ac:dyDescent="0.3">
      <c r="A5" t="s">
        <v>581</v>
      </c>
      <c r="B5" t="s">
        <v>580</v>
      </c>
      <c r="C5">
        <v>4700</v>
      </c>
      <c r="I5" t="s">
        <v>551</v>
      </c>
      <c r="J5">
        <v>1600</v>
      </c>
      <c r="R5" t="s">
        <v>629</v>
      </c>
      <c r="S5">
        <v>3300</v>
      </c>
      <c r="T5" t="s">
        <v>631</v>
      </c>
    </row>
    <row r="6" spans="1:20" x14ac:dyDescent="0.3">
      <c r="A6" s="61" t="s">
        <v>574</v>
      </c>
      <c r="B6" s="61" t="s">
        <v>576</v>
      </c>
      <c r="C6">
        <v>22800</v>
      </c>
      <c r="D6" t="s">
        <v>609</v>
      </c>
      <c r="R6" t="s">
        <v>630</v>
      </c>
      <c r="S6">
        <v>4600</v>
      </c>
      <c r="T6" t="s">
        <v>631</v>
      </c>
    </row>
    <row r="7" spans="1:20" x14ac:dyDescent="0.3">
      <c r="A7" t="s">
        <v>575</v>
      </c>
      <c r="B7" t="s">
        <v>577</v>
      </c>
      <c r="C7">
        <v>7350</v>
      </c>
      <c r="R7" t="s">
        <v>632</v>
      </c>
      <c r="S7">
        <v>3700</v>
      </c>
      <c r="T7" t="s">
        <v>533</v>
      </c>
    </row>
    <row r="8" spans="1:20" x14ac:dyDescent="0.3">
      <c r="A8" s="61" t="s">
        <v>578</v>
      </c>
      <c r="B8" s="61" t="s">
        <v>582</v>
      </c>
      <c r="C8">
        <v>25000</v>
      </c>
      <c r="D8" t="s">
        <v>609</v>
      </c>
      <c r="R8" t="s">
        <v>633</v>
      </c>
      <c r="S8">
        <v>7500</v>
      </c>
      <c r="T8" t="s">
        <v>533</v>
      </c>
    </row>
    <row r="9" spans="1:20" x14ac:dyDescent="0.3">
      <c r="A9" t="s">
        <v>579</v>
      </c>
      <c r="B9" t="s">
        <v>583</v>
      </c>
      <c r="C9">
        <v>2800</v>
      </c>
    </row>
    <row r="10" spans="1:20" x14ac:dyDescent="0.3">
      <c r="A10" s="61" t="s">
        <v>584</v>
      </c>
      <c r="B10" s="61" t="s">
        <v>585</v>
      </c>
      <c r="C10">
        <v>108200</v>
      </c>
      <c r="D10" t="s">
        <v>609</v>
      </c>
      <c r="F10" s="62"/>
    </row>
    <row r="11" spans="1:20" x14ac:dyDescent="0.3">
      <c r="A11" t="s">
        <v>586</v>
      </c>
      <c r="B11" t="s">
        <v>587</v>
      </c>
      <c r="C11">
        <v>28600</v>
      </c>
    </row>
    <row r="12" spans="1:20" x14ac:dyDescent="0.3">
      <c r="A12" t="s">
        <v>588</v>
      </c>
      <c r="B12" t="s">
        <v>589</v>
      </c>
      <c r="C12">
        <v>19400</v>
      </c>
    </row>
    <row r="13" spans="1:20" x14ac:dyDescent="0.3">
      <c r="A13" t="s">
        <v>591</v>
      </c>
      <c r="B13" t="s">
        <v>592</v>
      </c>
      <c r="C13">
        <v>19400</v>
      </c>
      <c r="D13" t="s">
        <v>593</v>
      </c>
    </row>
    <row r="14" spans="1:20" x14ac:dyDescent="0.3">
      <c r="A14" t="s">
        <v>590</v>
      </c>
      <c r="B14" t="s">
        <v>597</v>
      </c>
      <c r="C14">
        <v>27500</v>
      </c>
    </row>
    <row r="15" spans="1:20" x14ac:dyDescent="0.3">
      <c r="A15" s="61" t="s">
        <v>594</v>
      </c>
      <c r="B15" s="61" t="s">
        <v>595</v>
      </c>
      <c r="C15">
        <v>11500</v>
      </c>
      <c r="D15" t="s">
        <v>609</v>
      </c>
    </row>
    <row r="16" spans="1:20" x14ac:dyDescent="0.3">
      <c r="A16" s="61" t="s">
        <v>598</v>
      </c>
      <c r="B16" s="61" t="s">
        <v>596</v>
      </c>
      <c r="C16">
        <v>83600</v>
      </c>
      <c r="D16" t="s">
        <v>609</v>
      </c>
    </row>
    <row r="17" spans="1:4" x14ac:dyDescent="0.3">
      <c r="A17" t="s">
        <v>599</v>
      </c>
      <c r="B17" t="s">
        <v>600</v>
      </c>
      <c r="C17">
        <v>11700</v>
      </c>
    </row>
    <row r="18" spans="1:4" x14ac:dyDescent="0.3">
      <c r="A18" s="61" t="s">
        <v>601</v>
      </c>
      <c r="B18" s="61" t="s">
        <v>602</v>
      </c>
      <c r="C18">
        <v>9200</v>
      </c>
    </row>
    <row r="19" spans="1:4" x14ac:dyDescent="0.3">
      <c r="A19" s="61" t="s">
        <v>603</v>
      </c>
      <c r="B19" s="61" t="s">
        <v>604</v>
      </c>
      <c r="C19">
        <v>34700</v>
      </c>
      <c r="D19" t="s">
        <v>609</v>
      </c>
    </row>
    <row r="20" spans="1:4" x14ac:dyDescent="0.3">
      <c r="A20" s="61" t="s">
        <v>623</v>
      </c>
      <c r="B20" s="61" t="s">
        <v>625</v>
      </c>
      <c r="C20">
        <f>25350+2350</f>
        <v>27700</v>
      </c>
      <c r="D20" t="s">
        <v>624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8F8B-544C-42CB-BD27-24B9976359F4}">
  <dimension ref="A1:FH16"/>
  <sheetViews>
    <sheetView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2" sqref="E12"/>
    </sheetView>
  </sheetViews>
  <sheetFormatPr defaultRowHeight="16.2" x14ac:dyDescent="0.3"/>
  <cols>
    <col min="1" max="1" width="33.44140625" customWidth="1"/>
    <col min="2" max="2" width="13.44140625" customWidth="1"/>
    <col min="3" max="3" width="16.44140625" style="7" hidden="1" customWidth="1"/>
    <col min="4" max="4" width="34.44140625" hidden="1" customWidth="1"/>
    <col min="5" max="131" width="14.6640625" customWidth="1"/>
  </cols>
  <sheetData>
    <row r="1" spans="1:164" ht="31.8" thickBot="1" x14ac:dyDescent="0.35">
      <c r="A1" s="1" t="s">
        <v>15</v>
      </c>
      <c r="B1" s="8" t="s">
        <v>0</v>
      </c>
      <c r="C1" s="4" t="s">
        <v>1</v>
      </c>
      <c r="D1" s="1" t="s">
        <v>2</v>
      </c>
    </row>
    <row r="2" spans="1:164" ht="47.4" thickBot="1" x14ac:dyDescent="0.35">
      <c r="A2" s="1" t="s">
        <v>41</v>
      </c>
      <c r="B2" s="3" t="s">
        <v>3</v>
      </c>
      <c r="C2" s="5" t="s">
        <v>23</v>
      </c>
      <c r="D2" s="10" t="s">
        <v>31</v>
      </c>
      <c r="E2" s="5" t="s">
        <v>34</v>
      </c>
      <c r="F2" s="5" t="s">
        <v>34</v>
      </c>
      <c r="G2" s="5" t="s">
        <v>34</v>
      </c>
      <c r="H2" s="5" t="s">
        <v>34</v>
      </c>
      <c r="I2" s="5" t="s">
        <v>34</v>
      </c>
      <c r="J2" s="5" t="s">
        <v>34</v>
      </c>
      <c r="K2" s="5" t="s">
        <v>34</v>
      </c>
      <c r="L2" s="5" t="s">
        <v>34</v>
      </c>
      <c r="M2" s="5" t="s">
        <v>34</v>
      </c>
      <c r="N2" s="5" t="s">
        <v>34</v>
      </c>
      <c r="O2" s="5" t="s">
        <v>34</v>
      </c>
      <c r="P2" s="5" t="s">
        <v>34</v>
      </c>
      <c r="Q2" s="5" t="s">
        <v>34</v>
      </c>
      <c r="R2" s="5" t="s">
        <v>34</v>
      </c>
      <c r="S2" s="5" t="s">
        <v>34</v>
      </c>
      <c r="T2" s="5" t="s">
        <v>34</v>
      </c>
      <c r="U2" s="5" t="s">
        <v>34</v>
      </c>
      <c r="V2" s="5" t="s">
        <v>34</v>
      </c>
      <c r="W2" s="5" t="s">
        <v>34</v>
      </c>
      <c r="X2" s="5" t="s">
        <v>34</v>
      </c>
      <c r="Y2" s="5" t="s">
        <v>34</v>
      </c>
      <c r="Z2" s="5" t="s">
        <v>34</v>
      </c>
      <c r="AA2" s="5" t="s">
        <v>34</v>
      </c>
      <c r="AB2" s="5" t="s">
        <v>34</v>
      </c>
      <c r="AC2" s="5" t="s">
        <v>34</v>
      </c>
      <c r="AD2" s="5" t="s">
        <v>34</v>
      </c>
      <c r="AE2" s="5" t="s">
        <v>34</v>
      </c>
      <c r="AF2" s="5" t="s">
        <v>34</v>
      </c>
      <c r="AG2" s="5" t="s">
        <v>34</v>
      </c>
      <c r="AH2" s="5" t="s">
        <v>34</v>
      </c>
      <c r="AI2" s="5" t="s">
        <v>34</v>
      </c>
      <c r="AJ2" s="5" t="s">
        <v>34</v>
      </c>
      <c r="AK2" s="5" t="s">
        <v>34</v>
      </c>
      <c r="AL2" s="5" t="s">
        <v>34</v>
      </c>
      <c r="AM2" s="5" t="s">
        <v>34</v>
      </c>
      <c r="AN2" s="5" t="s">
        <v>34</v>
      </c>
      <c r="AO2" s="5" t="s">
        <v>34</v>
      </c>
      <c r="AP2" s="5" t="s">
        <v>34</v>
      </c>
      <c r="AQ2" s="5" t="s">
        <v>34</v>
      </c>
      <c r="AR2" s="5" t="s">
        <v>34</v>
      </c>
      <c r="AS2" s="5" t="s">
        <v>34</v>
      </c>
      <c r="AT2" s="5" t="s">
        <v>34</v>
      </c>
      <c r="AU2" s="5" t="s">
        <v>34</v>
      </c>
      <c r="AV2" s="5" t="s">
        <v>34</v>
      </c>
      <c r="AW2" s="5" t="s">
        <v>34</v>
      </c>
      <c r="AX2" s="5" t="s">
        <v>34</v>
      </c>
      <c r="AY2" s="5" t="s">
        <v>34</v>
      </c>
      <c r="AZ2" s="5" t="s">
        <v>34</v>
      </c>
      <c r="BA2" s="5" t="s">
        <v>34</v>
      </c>
      <c r="BB2" s="5" t="s">
        <v>34</v>
      </c>
      <c r="BC2" s="5" t="s">
        <v>34</v>
      </c>
      <c r="BD2" s="5" t="s">
        <v>34</v>
      </c>
      <c r="BE2" s="5" t="s">
        <v>34</v>
      </c>
      <c r="BF2" s="5" t="s">
        <v>34</v>
      </c>
      <c r="BG2" s="5" t="s">
        <v>34</v>
      </c>
      <c r="BH2" s="5" t="s">
        <v>34</v>
      </c>
      <c r="BI2" s="5" t="s">
        <v>34</v>
      </c>
      <c r="BJ2" s="5" t="s">
        <v>34</v>
      </c>
      <c r="BK2" s="5" t="s">
        <v>34</v>
      </c>
      <c r="BL2" s="5" t="s">
        <v>133</v>
      </c>
      <c r="BM2" s="5" t="s">
        <v>133</v>
      </c>
      <c r="BN2" s="5" t="s">
        <v>133</v>
      </c>
      <c r="BO2" s="5" t="s">
        <v>133</v>
      </c>
      <c r="BP2" s="5" t="s">
        <v>133</v>
      </c>
      <c r="BQ2" s="5" t="s">
        <v>133</v>
      </c>
      <c r="BR2" s="5" t="s">
        <v>133</v>
      </c>
      <c r="BS2" s="5" t="s">
        <v>133</v>
      </c>
      <c r="BT2" s="5" t="s">
        <v>133</v>
      </c>
      <c r="BU2" s="5" t="s">
        <v>133</v>
      </c>
      <c r="BV2" s="5" t="s">
        <v>133</v>
      </c>
      <c r="BW2" s="5" t="s">
        <v>133</v>
      </c>
      <c r="BX2" s="5" t="s">
        <v>133</v>
      </c>
      <c r="BY2" s="5" t="s">
        <v>133</v>
      </c>
      <c r="BZ2" s="5" t="s">
        <v>133</v>
      </c>
      <c r="CA2" s="5" t="s">
        <v>133</v>
      </c>
      <c r="CB2" s="5" t="s">
        <v>133</v>
      </c>
      <c r="CC2" s="5" t="s">
        <v>133</v>
      </c>
      <c r="CD2" s="5" t="s">
        <v>133</v>
      </c>
      <c r="CE2" s="5" t="s">
        <v>133</v>
      </c>
      <c r="CF2" s="5" t="s">
        <v>133</v>
      </c>
      <c r="CG2" s="5" t="s">
        <v>133</v>
      </c>
      <c r="CH2" s="5" t="s">
        <v>133</v>
      </c>
      <c r="CI2" s="5" t="s">
        <v>133</v>
      </c>
      <c r="CJ2" s="5" t="s">
        <v>133</v>
      </c>
      <c r="CK2" s="5" t="s">
        <v>133</v>
      </c>
      <c r="CL2" s="5" t="s">
        <v>133</v>
      </c>
      <c r="CM2" s="5" t="s">
        <v>133</v>
      </c>
      <c r="CN2" s="5" t="s">
        <v>133</v>
      </c>
      <c r="CO2" s="5" t="s">
        <v>133</v>
      </c>
      <c r="CP2" s="5" t="s">
        <v>133</v>
      </c>
      <c r="CQ2" s="5" t="s">
        <v>133</v>
      </c>
      <c r="CR2" s="5" t="s">
        <v>133</v>
      </c>
      <c r="CS2" s="5" t="s">
        <v>133</v>
      </c>
      <c r="CT2" s="5" t="s">
        <v>133</v>
      </c>
      <c r="CU2" s="5" t="s">
        <v>133</v>
      </c>
      <c r="CV2" s="5" t="s">
        <v>133</v>
      </c>
      <c r="CW2" s="5" t="s">
        <v>133</v>
      </c>
      <c r="CX2" s="5" t="s">
        <v>133</v>
      </c>
      <c r="CY2" s="5" t="s">
        <v>133</v>
      </c>
      <c r="CZ2" s="5" t="s">
        <v>133</v>
      </c>
      <c r="DA2" s="5" t="s">
        <v>133</v>
      </c>
      <c r="DB2" s="5" t="s">
        <v>133</v>
      </c>
      <c r="DC2" s="5" t="s">
        <v>133</v>
      </c>
      <c r="DD2" s="5" t="s">
        <v>133</v>
      </c>
      <c r="DE2" s="5" t="s">
        <v>133</v>
      </c>
      <c r="DF2" s="5" t="s">
        <v>133</v>
      </c>
      <c r="DG2" s="5" t="s">
        <v>133</v>
      </c>
      <c r="DH2" s="5" t="s">
        <v>133</v>
      </c>
      <c r="DI2" s="5" t="s">
        <v>133</v>
      </c>
      <c r="DJ2" s="5" t="s">
        <v>133</v>
      </c>
      <c r="DK2" s="5" t="s">
        <v>133</v>
      </c>
      <c r="DL2" s="5" t="s">
        <v>133</v>
      </c>
      <c r="DM2" s="5" t="s">
        <v>133</v>
      </c>
      <c r="DN2" s="5" t="s">
        <v>133</v>
      </c>
      <c r="DO2" s="5" t="s">
        <v>133</v>
      </c>
      <c r="DP2" s="5" t="s">
        <v>133</v>
      </c>
      <c r="DQ2" s="5" t="s">
        <v>133</v>
      </c>
      <c r="DR2" s="5" t="s">
        <v>133</v>
      </c>
      <c r="DS2" s="5" t="s">
        <v>133</v>
      </c>
      <c r="DT2" s="5" t="s">
        <v>133</v>
      </c>
      <c r="DU2" s="5" t="s">
        <v>133</v>
      </c>
      <c r="DV2" s="5" t="s">
        <v>133</v>
      </c>
      <c r="DW2" s="5" t="s">
        <v>133</v>
      </c>
      <c r="DX2" s="5" t="s">
        <v>133</v>
      </c>
      <c r="DY2" s="5" t="s">
        <v>133</v>
      </c>
      <c r="DZ2" s="5" t="s">
        <v>133</v>
      </c>
      <c r="EA2" s="5" t="s">
        <v>133</v>
      </c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</row>
    <row r="3" spans="1:164" ht="31.8" thickBot="1" x14ac:dyDescent="0.35">
      <c r="A3" s="1" t="s">
        <v>44</v>
      </c>
      <c r="B3" s="3" t="s">
        <v>3</v>
      </c>
      <c r="C3" s="5" t="s">
        <v>42</v>
      </c>
      <c r="D3" s="11" t="s">
        <v>24</v>
      </c>
      <c r="E3" s="5" t="s">
        <v>35</v>
      </c>
      <c r="F3" s="5" t="s">
        <v>35</v>
      </c>
      <c r="G3" s="5" t="s">
        <v>35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35</v>
      </c>
      <c r="M3" s="5" t="s">
        <v>35</v>
      </c>
      <c r="N3" s="5" t="s">
        <v>75</v>
      </c>
      <c r="O3" s="5" t="s">
        <v>75</v>
      </c>
      <c r="P3" s="5" t="s">
        <v>75</v>
      </c>
      <c r="Q3" s="5" t="s">
        <v>75</v>
      </c>
      <c r="R3" s="5" t="s">
        <v>75</v>
      </c>
      <c r="S3" s="5" t="s">
        <v>75</v>
      </c>
      <c r="T3" s="5" t="s">
        <v>75</v>
      </c>
      <c r="U3" s="5" t="s">
        <v>497</v>
      </c>
      <c r="V3" s="5" t="s">
        <v>497</v>
      </c>
      <c r="W3" s="5" t="s">
        <v>497</v>
      </c>
      <c r="X3" s="5" t="s">
        <v>497</v>
      </c>
      <c r="Y3" s="5" t="s">
        <v>497</v>
      </c>
      <c r="Z3" s="5" t="s">
        <v>497</v>
      </c>
      <c r="AA3" s="5" t="s">
        <v>497</v>
      </c>
      <c r="AB3" s="5" t="s">
        <v>497</v>
      </c>
      <c r="AC3" s="5" t="s">
        <v>497</v>
      </c>
      <c r="AD3" s="5" t="s">
        <v>77</v>
      </c>
      <c r="AE3" s="5" t="s">
        <v>77</v>
      </c>
      <c r="AF3" s="5" t="s">
        <v>77</v>
      </c>
      <c r="AG3" s="5" t="s">
        <v>77</v>
      </c>
      <c r="AH3" s="5" t="s">
        <v>77</v>
      </c>
      <c r="AI3" s="5" t="s">
        <v>77</v>
      </c>
      <c r="AJ3" s="5" t="s">
        <v>77</v>
      </c>
      <c r="AK3" s="5" t="s">
        <v>511</v>
      </c>
      <c r="AL3" s="5" t="s">
        <v>511</v>
      </c>
      <c r="AM3" s="5" t="s">
        <v>511</v>
      </c>
      <c r="AN3" s="5" t="s">
        <v>511</v>
      </c>
      <c r="AO3" s="5" t="s">
        <v>511</v>
      </c>
      <c r="AP3" s="5" t="s">
        <v>511</v>
      </c>
      <c r="AQ3" s="5" t="s">
        <v>511</v>
      </c>
      <c r="AR3" s="5" t="s">
        <v>78</v>
      </c>
      <c r="AS3" s="5" t="s">
        <v>78</v>
      </c>
      <c r="AT3" s="5" t="s">
        <v>78</v>
      </c>
      <c r="AU3" s="5" t="s">
        <v>78</v>
      </c>
      <c r="AV3" s="5" t="s">
        <v>78</v>
      </c>
      <c r="AW3" s="5" t="s">
        <v>78</v>
      </c>
      <c r="AX3" s="5" t="s">
        <v>78</v>
      </c>
      <c r="AY3" s="5" t="s">
        <v>522</v>
      </c>
      <c r="AZ3" s="5" t="s">
        <v>522</v>
      </c>
      <c r="BA3" s="5" t="s">
        <v>522</v>
      </c>
      <c r="BB3" s="5" t="s">
        <v>522</v>
      </c>
      <c r="BC3" s="5" t="s">
        <v>522</v>
      </c>
      <c r="BD3" s="5" t="s">
        <v>522</v>
      </c>
      <c r="BE3" s="5" t="s">
        <v>522</v>
      </c>
      <c r="BF3" s="5" t="s">
        <v>473</v>
      </c>
      <c r="BG3" s="5" t="s">
        <v>473</v>
      </c>
      <c r="BH3" s="5" t="s">
        <v>473</v>
      </c>
      <c r="BI3" s="5" t="s">
        <v>473</v>
      </c>
      <c r="BJ3" s="5" t="s">
        <v>472</v>
      </c>
      <c r="BK3" s="5" t="s">
        <v>472</v>
      </c>
      <c r="BL3" s="5" t="s">
        <v>128</v>
      </c>
      <c r="BM3" s="5" t="s">
        <v>130</v>
      </c>
      <c r="BN3" s="5" t="s">
        <v>130</v>
      </c>
      <c r="BO3" s="5" t="s">
        <v>130</v>
      </c>
      <c r="BP3" s="5" t="s">
        <v>130</v>
      </c>
      <c r="BQ3" s="5" t="s">
        <v>130</v>
      </c>
      <c r="BR3" s="5" t="s">
        <v>131</v>
      </c>
      <c r="BS3" s="5" t="s">
        <v>131</v>
      </c>
      <c r="BT3" s="5" t="s">
        <v>132</v>
      </c>
      <c r="BU3" s="5" t="s">
        <v>132</v>
      </c>
      <c r="BV3" s="5" t="s">
        <v>132</v>
      </c>
      <c r="BW3" s="5" t="s">
        <v>146</v>
      </c>
      <c r="BX3" s="5" t="s">
        <v>146</v>
      </c>
      <c r="BY3" s="5" t="s">
        <v>146</v>
      </c>
      <c r="BZ3" s="5" t="s">
        <v>190</v>
      </c>
      <c r="CA3" s="5" t="s">
        <v>190</v>
      </c>
      <c r="CB3" s="5" t="s">
        <v>190</v>
      </c>
      <c r="CC3" s="5" t="s">
        <v>190</v>
      </c>
      <c r="CD3" s="5" t="s">
        <v>190</v>
      </c>
      <c r="CE3" s="5" t="s">
        <v>190</v>
      </c>
      <c r="CF3" s="5" t="s">
        <v>190</v>
      </c>
      <c r="CG3" s="5" t="s">
        <v>190</v>
      </c>
      <c r="CH3" s="5" t="s">
        <v>190</v>
      </c>
      <c r="CI3" s="5" t="s">
        <v>190</v>
      </c>
      <c r="CJ3" s="5" t="s">
        <v>190</v>
      </c>
      <c r="CK3" s="5" t="s">
        <v>190</v>
      </c>
      <c r="CL3" s="5" t="s">
        <v>190</v>
      </c>
      <c r="CM3" s="5" t="s">
        <v>190</v>
      </c>
      <c r="CN3" s="5" t="s">
        <v>190</v>
      </c>
      <c r="CO3" s="5" t="s">
        <v>190</v>
      </c>
      <c r="CP3" s="5" t="s">
        <v>190</v>
      </c>
      <c r="CQ3" s="5" t="s">
        <v>190</v>
      </c>
      <c r="CR3" s="5" t="s">
        <v>190</v>
      </c>
      <c r="CS3" s="5" t="s">
        <v>190</v>
      </c>
      <c r="CT3" s="5" t="s">
        <v>190</v>
      </c>
      <c r="CU3" s="5" t="s">
        <v>190</v>
      </c>
      <c r="CV3" s="5" t="s">
        <v>190</v>
      </c>
      <c r="CW3" s="5" t="s">
        <v>190</v>
      </c>
      <c r="CX3" s="5" t="s">
        <v>190</v>
      </c>
      <c r="CY3" s="5" t="s">
        <v>190</v>
      </c>
      <c r="CZ3" s="5" t="s">
        <v>190</v>
      </c>
      <c r="DA3" s="5" t="s">
        <v>42</v>
      </c>
      <c r="DB3" s="5" t="s">
        <v>42</v>
      </c>
      <c r="DC3" s="5" t="s">
        <v>42</v>
      </c>
      <c r="DD3" s="5" t="s">
        <v>42</v>
      </c>
      <c r="DE3" s="5" t="s">
        <v>42</v>
      </c>
      <c r="DF3" s="5" t="s">
        <v>42</v>
      </c>
      <c r="DG3" s="5" t="s">
        <v>42</v>
      </c>
      <c r="DH3" s="5" t="s">
        <v>42</v>
      </c>
      <c r="DI3" s="5" t="s">
        <v>42</v>
      </c>
      <c r="DJ3" s="5" t="s">
        <v>42</v>
      </c>
      <c r="DK3" s="5" t="s">
        <v>42</v>
      </c>
      <c r="DL3" s="5" t="s">
        <v>42</v>
      </c>
      <c r="DM3" s="5" t="s">
        <v>42</v>
      </c>
      <c r="DN3" s="5" t="s">
        <v>42</v>
      </c>
      <c r="DO3" s="5" t="s">
        <v>42</v>
      </c>
      <c r="DP3" s="5" t="s">
        <v>42</v>
      </c>
      <c r="DQ3" s="5" t="s">
        <v>42</v>
      </c>
      <c r="DR3" s="5" t="s">
        <v>42</v>
      </c>
      <c r="DS3" s="5" t="s">
        <v>42</v>
      </c>
      <c r="DT3" s="5" t="s">
        <v>42</v>
      </c>
      <c r="DU3" s="5" t="s">
        <v>42</v>
      </c>
      <c r="DV3" s="5" t="s">
        <v>42</v>
      </c>
      <c r="DW3" s="5" t="s">
        <v>42</v>
      </c>
      <c r="DX3" s="5" t="s">
        <v>42</v>
      </c>
      <c r="DY3" s="5" t="s">
        <v>42</v>
      </c>
      <c r="DZ3" s="5" t="s">
        <v>42</v>
      </c>
      <c r="EA3" s="5" t="s">
        <v>42</v>
      </c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</row>
    <row r="4" spans="1:164" ht="31.8" thickBot="1" x14ac:dyDescent="0.35">
      <c r="A4" s="1" t="s">
        <v>52</v>
      </c>
      <c r="B4" s="3" t="s">
        <v>3</v>
      </c>
      <c r="C4" s="5" t="s">
        <v>43</v>
      </c>
      <c r="D4" s="10" t="s">
        <v>32</v>
      </c>
      <c r="E4" s="5" t="s">
        <v>39</v>
      </c>
      <c r="F4" s="5" t="s">
        <v>64</v>
      </c>
      <c r="G4" s="5" t="s">
        <v>98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82</v>
      </c>
      <c r="O4" s="5" t="s">
        <v>83</v>
      </c>
      <c r="P4" s="5" t="s">
        <v>99</v>
      </c>
      <c r="Q4" s="5" t="s">
        <v>84</v>
      </c>
      <c r="R4" s="5" t="s">
        <v>85</v>
      </c>
      <c r="S4" s="5" t="s">
        <v>86</v>
      </c>
      <c r="T4" s="5" t="s">
        <v>87</v>
      </c>
      <c r="U4" s="5" t="s">
        <v>498</v>
      </c>
      <c r="V4" s="5" t="s">
        <v>499</v>
      </c>
      <c r="W4" s="5" t="s">
        <v>500</v>
      </c>
      <c r="X4" s="5" t="s">
        <v>501</v>
      </c>
      <c r="Y4" s="5" t="s">
        <v>502</v>
      </c>
      <c r="Z4" s="5" t="s">
        <v>503</v>
      </c>
      <c r="AA4" s="5" t="s">
        <v>504</v>
      </c>
      <c r="AB4" s="5" t="s">
        <v>505</v>
      </c>
      <c r="AC4" s="5" t="s">
        <v>506</v>
      </c>
      <c r="AD4" s="5" t="s">
        <v>88</v>
      </c>
      <c r="AE4" s="5" t="s">
        <v>89</v>
      </c>
      <c r="AF4" s="5" t="s">
        <v>90</v>
      </c>
      <c r="AG4" s="5" t="s">
        <v>91</v>
      </c>
      <c r="AH4" s="5" t="s">
        <v>92</v>
      </c>
      <c r="AI4" s="5" t="s">
        <v>93</v>
      </c>
      <c r="AJ4" s="5" t="s">
        <v>94</v>
      </c>
      <c r="AK4" s="5" t="s">
        <v>512</v>
      </c>
      <c r="AL4" s="5" t="s">
        <v>513</v>
      </c>
      <c r="AM4" s="5" t="s">
        <v>514</v>
      </c>
      <c r="AN4" s="5" t="s">
        <v>515</v>
      </c>
      <c r="AO4" s="5" t="s">
        <v>516</v>
      </c>
      <c r="AP4" s="5" t="s">
        <v>517</v>
      </c>
      <c r="AQ4" s="5" t="s">
        <v>518</v>
      </c>
      <c r="AR4" s="5" t="s">
        <v>79</v>
      </c>
      <c r="AS4" s="5" t="s">
        <v>80</v>
      </c>
      <c r="AT4" s="5" t="s">
        <v>81</v>
      </c>
      <c r="AU4" s="5" t="s">
        <v>100</v>
      </c>
      <c r="AV4" s="5" t="s">
        <v>95</v>
      </c>
      <c r="AW4" s="5" t="s">
        <v>96</v>
      </c>
      <c r="AX4" s="5" t="s">
        <v>97</v>
      </c>
      <c r="AY4" s="5" t="s">
        <v>520</v>
      </c>
      <c r="AZ4" s="5" t="s">
        <v>521</v>
      </c>
      <c r="BA4" s="5" t="s">
        <v>614</v>
      </c>
      <c r="BB4" s="5" t="s">
        <v>622</v>
      </c>
      <c r="BC4" s="5" t="s">
        <v>615</v>
      </c>
      <c r="BD4" s="5" t="s">
        <v>616</v>
      </c>
      <c r="BE4" s="5" t="s">
        <v>617</v>
      </c>
      <c r="BF4" s="5" t="s">
        <v>105</v>
      </c>
      <c r="BG4" s="5" t="s">
        <v>106</v>
      </c>
      <c r="BH4" s="5" t="s">
        <v>107</v>
      </c>
      <c r="BI4" s="5" t="s">
        <v>108</v>
      </c>
      <c r="BJ4" s="5" t="s">
        <v>109</v>
      </c>
      <c r="BK4" s="5" t="s">
        <v>559</v>
      </c>
      <c r="BL4" s="5" t="s">
        <v>129</v>
      </c>
      <c r="BM4" s="5" t="s">
        <v>134</v>
      </c>
      <c r="BN4" s="5" t="s">
        <v>135</v>
      </c>
      <c r="BO4" s="5" t="s">
        <v>136</v>
      </c>
      <c r="BP4" s="5" t="s">
        <v>137</v>
      </c>
      <c r="BQ4" s="5" t="s">
        <v>138</v>
      </c>
      <c r="BR4" s="5" t="s">
        <v>139</v>
      </c>
      <c r="BS4" s="5" t="s">
        <v>140</v>
      </c>
      <c r="BT4" s="5" t="s">
        <v>489</v>
      </c>
      <c r="BU4" s="5" t="s">
        <v>141</v>
      </c>
      <c r="BV4" s="5" t="s">
        <v>142</v>
      </c>
      <c r="BW4" s="5" t="s">
        <v>147</v>
      </c>
      <c r="BX4" s="5" t="s">
        <v>148</v>
      </c>
      <c r="BY4" s="5" t="s">
        <v>149</v>
      </c>
      <c r="BZ4" s="5" t="s">
        <v>150</v>
      </c>
      <c r="CA4" s="5" t="s">
        <v>151</v>
      </c>
      <c r="CB4" s="5" t="s">
        <v>152</v>
      </c>
      <c r="CC4" s="5" t="s">
        <v>153</v>
      </c>
      <c r="CD4" s="5" t="s">
        <v>154</v>
      </c>
      <c r="CE4" s="5" t="s">
        <v>155</v>
      </c>
      <c r="CF4" s="5" t="s">
        <v>156</v>
      </c>
      <c r="CG4" s="5" t="s">
        <v>157</v>
      </c>
      <c r="CH4" s="5" t="s">
        <v>158</v>
      </c>
      <c r="CI4" s="5" t="s">
        <v>159</v>
      </c>
      <c r="CJ4" s="5" t="s">
        <v>160</v>
      </c>
      <c r="CK4" s="5" t="s">
        <v>161</v>
      </c>
      <c r="CL4" s="5" t="s">
        <v>162</v>
      </c>
      <c r="CM4" s="5" t="s">
        <v>163</v>
      </c>
      <c r="CN4" s="5" t="s">
        <v>164</v>
      </c>
      <c r="CO4" s="5" t="s">
        <v>165</v>
      </c>
      <c r="CP4" s="5" t="s">
        <v>166</v>
      </c>
      <c r="CQ4" s="5" t="s">
        <v>167</v>
      </c>
      <c r="CR4" s="5" t="s">
        <v>168</v>
      </c>
      <c r="CS4" s="5" t="s">
        <v>169</v>
      </c>
      <c r="CT4" s="5" t="s">
        <v>170</v>
      </c>
      <c r="CU4" s="5" t="s">
        <v>171</v>
      </c>
      <c r="CV4" s="5" t="s">
        <v>172</v>
      </c>
      <c r="CW4" s="5" t="s">
        <v>173</v>
      </c>
      <c r="CX4" s="5" t="s">
        <v>174</v>
      </c>
      <c r="CY4" s="5" t="s">
        <v>175</v>
      </c>
      <c r="CZ4" s="5" t="s">
        <v>176</v>
      </c>
      <c r="DA4" s="5" t="s">
        <v>191</v>
      </c>
      <c r="DB4" s="5" t="s">
        <v>192</v>
      </c>
      <c r="DC4" s="5" t="s">
        <v>193</v>
      </c>
      <c r="DD4" s="5" t="s">
        <v>194</v>
      </c>
      <c r="DE4" s="5" t="s">
        <v>195</v>
      </c>
      <c r="DF4" s="5" t="s">
        <v>196</v>
      </c>
      <c r="DG4" s="5" t="s">
        <v>197</v>
      </c>
      <c r="DH4" s="5" t="s">
        <v>198</v>
      </c>
      <c r="DI4" s="5" t="s">
        <v>199</v>
      </c>
      <c r="DJ4" s="5" t="s">
        <v>200</v>
      </c>
      <c r="DK4" s="5" t="s">
        <v>201</v>
      </c>
      <c r="DL4" s="5" t="s">
        <v>202</v>
      </c>
      <c r="DM4" s="5" t="s">
        <v>203</v>
      </c>
      <c r="DN4" s="5" t="s">
        <v>204</v>
      </c>
      <c r="DO4" s="5" t="s">
        <v>205</v>
      </c>
      <c r="DP4" s="5" t="s">
        <v>206</v>
      </c>
      <c r="DQ4" s="5" t="s">
        <v>207</v>
      </c>
      <c r="DR4" s="5" t="s">
        <v>208</v>
      </c>
      <c r="DS4" s="5" t="s">
        <v>209</v>
      </c>
      <c r="DT4" s="5" t="s">
        <v>210</v>
      </c>
      <c r="DU4" s="5" t="s">
        <v>211</v>
      </c>
      <c r="DV4" s="5" t="s">
        <v>212</v>
      </c>
      <c r="DW4" s="5" t="s">
        <v>213</v>
      </c>
      <c r="DX4" s="5" t="s">
        <v>214</v>
      </c>
      <c r="DY4" s="5" t="s">
        <v>215</v>
      </c>
      <c r="DZ4" s="5" t="s">
        <v>216</v>
      </c>
      <c r="EA4" s="5" t="s">
        <v>217</v>
      </c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</row>
    <row r="5" spans="1:164" ht="31.8" thickBot="1" x14ac:dyDescent="0.35">
      <c r="A5" s="1" t="s">
        <v>46</v>
      </c>
      <c r="B5" s="3" t="s">
        <v>6</v>
      </c>
      <c r="C5" s="5">
        <v>28</v>
      </c>
      <c r="D5" s="10" t="s">
        <v>33</v>
      </c>
      <c r="E5" s="5">
        <v>2.2000000000000002</v>
      </c>
      <c r="F5" s="5">
        <v>2.8</v>
      </c>
      <c r="G5" s="5">
        <v>3.5</v>
      </c>
      <c r="H5" s="5">
        <v>4.0999999999999996</v>
      </c>
      <c r="I5" s="5">
        <v>5</v>
      </c>
      <c r="J5" s="5">
        <v>6</v>
      </c>
      <c r="K5" s="5">
        <v>7.2</v>
      </c>
      <c r="L5" s="5">
        <v>8</v>
      </c>
      <c r="M5" s="5">
        <v>8.6999999999999993</v>
      </c>
      <c r="N5" s="5">
        <v>2.2000000000000002</v>
      </c>
      <c r="O5" s="5">
        <v>2.8</v>
      </c>
      <c r="P5" s="5">
        <v>3.5</v>
      </c>
      <c r="Q5" s="5">
        <v>4.0999999999999996</v>
      </c>
      <c r="R5" s="5">
        <v>5</v>
      </c>
      <c r="S5" s="5">
        <v>6.3</v>
      </c>
      <c r="T5" s="5">
        <v>7.2</v>
      </c>
      <c r="U5" s="5">
        <v>2.2000000000000002</v>
      </c>
      <c r="V5" s="5">
        <v>2.8</v>
      </c>
      <c r="W5" s="5">
        <v>3.5</v>
      </c>
      <c r="X5" s="5">
        <v>4.0999999999999996</v>
      </c>
      <c r="Y5" s="5">
        <v>5</v>
      </c>
      <c r="Z5" s="5">
        <v>6</v>
      </c>
      <c r="AA5" s="5">
        <v>7.2</v>
      </c>
      <c r="AB5" s="5">
        <v>8</v>
      </c>
      <c r="AC5" s="5">
        <v>8.6999999999999993</v>
      </c>
      <c r="AD5" s="5">
        <v>2.2000000000000002</v>
      </c>
      <c r="AE5" s="5">
        <v>2.8</v>
      </c>
      <c r="AF5" s="5">
        <v>3.5</v>
      </c>
      <c r="AG5" s="5">
        <v>4.0999999999999996</v>
      </c>
      <c r="AH5" s="5">
        <v>5</v>
      </c>
      <c r="AI5" s="5">
        <v>6</v>
      </c>
      <c r="AJ5" s="5">
        <v>7.2</v>
      </c>
      <c r="AK5" s="5">
        <v>2.2000000000000002</v>
      </c>
      <c r="AL5" s="5">
        <v>2.8</v>
      </c>
      <c r="AM5" s="5">
        <v>3.5</v>
      </c>
      <c r="AN5" s="5">
        <v>4.0999999999999996</v>
      </c>
      <c r="AO5" s="5">
        <v>5</v>
      </c>
      <c r="AP5" s="5">
        <v>6</v>
      </c>
      <c r="AQ5" s="5">
        <v>7.2</v>
      </c>
      <c r="AR5" s="5">
        <v>2.2000000000000002</v>
      </c>
      <c r="AS5" s="5">
        <v>2.5</v>
      </c>
      <c r="AT5" s="5">
        <v>3</v>
      </c>
      <c r="AU5" s="5">
        <v>4.0999999999999996</v>
      </c>
      <c r="AV5" s="5">
        <v>5</v>
      </c>
      <c r="AW5" s="5">
        <v>6</v>
      </c>
      <c r="AX5" s="5">
        <v>7.2</v>
      </c>
      <c r="AY5" s="5">
        <v>2.2000000000000002</v>
      </c>
      <c r="AZ5" s="5">
        <v>2.5</v>
      </c>
      <c r="BA5" s="5">
        <v>3</v>
      </c>
      <c r="BB5" s="5">
        <v>4.0999999999999996</v>
      </c>
      <c r="BC5" s="5">
        <v>5</v>
      </c>
      <c r="BD5" s="5">
        <v>6</v>
      </c>
      <c r="BE5" s="5">
        <v>7.2</v>
      </c>
      <c r="BF5" s="5">
        <v>5.6</v>
      </c>
      <c r="BG5" s="5">
        <v>7.2</v>
      </c>
      <c r="BH5" s="5">
        <v>8.5</v>
      </c>
      <c r="BI5" s="5">
        <v>10.5</v>
      </c>
      <c r="BJ5" s="5">
        <v>5</v>
      </c>
      <c r="BK5" s="5">
        <v>8.5</v>
      </c>
      <c r="BL5" s="5">
        <v>11.2</v>
      </c>
      <c r="BM5" s="5">
        <v>12.5</v>
      </c>
      <c r="BN5" s="5">
        <v>14</v>
      </c>
      <c r="BO5" s="5">
        <v>16</v>
      </c>
      <c r="BP5" s="5">
        <v>28</v>
      </c>
      <c r="BQ5" s="5">
        <v>33.5</v>
      </c>
      <c r="BR5" s="5">
        <v>22.4</v>
      </c>
      <c r="BS5" s="5">
        <v>25</v>
      </c>
      <c r="BT5" s="5">
        <v>15.5</v>
      </c>
      <c r="BU5" s="5">
        <v>20</v>
      </c>
      <c r="BV5" s="5">
        <v>24</v>
      </c>
      <c r="BW5" s="5">
        <v>11.2</v>
      </c>
      <c r="BX5" s="5">
        <v>12.5</v>
      </c>
      <c r="BY5" s="5">
        <v>14</v>
      </c>
      <c r="BZ5" s="5">
        <v>22.4</v>
      </c>
      <c r="CA5" s="5">
        <v>28</v>
      </c>
      <c r="CB5" s="5">
        <v>33.5</v>
      </c>
      <c r="CC5" s="5">
        <v>40</v>
      </c>
      <c r="CD5" s="5">
        <v>45</v>
      </c>
      <c r="CE5" s="5">
        <v>50</v>
      </c>
      <c r="CF5" s="5">
        <v>54</v>
      </c>
      <c r="CG5" s="5">
        <v>61.5</v>
      </c>
      <c r="CH5" s="5">
        <v>67</v>
      </c>
      <c r="CI5" s="5">
        <v>73.5</v>
      </c>
      <c r="CJ5" s="5">
        <v>78.5</v>
      </c>
      <c r="CK5" s="5">
        <v>85</v>
      </c>
      <c r="CL5" s="5">
        <v>90</v>
      </c>
      <c r="CM5" s="5">
        <v>95</v>
      </c>
      <c r="CN5" s="5">
        <v>100</v>
      </c>
      <c r="CO5" s="5">
        <v>104</v>
      </c>
      <c r="CP5" s="5">
        <v>108</v>
      </c>
      <c r="CQ5" s="5">
        <v>117</v>
      </c>
      <c r="CR5" s="5">
        <v>121</v>
      </c>
      <c r="CS5" s="5">
        <v>130</v>
      </c>
      <c r="CT5" s="5">
        <v>135</v>
      </c>
      <c r="CU5" s="5">
        <v>140</v>
      </c>
      <c r="CV5" s="5">
        <v>145</v>
      </c>
      <c r="CW5" s="5">
        <v>150</v>
      </c>
      <c r="CX5" s="5">
        <v>154</v>
      </c>
      <c r="CY5" s="5">
        <v>158</v>
      </c>
      <c r="CZ5" s="5">
        <v>162</v>
      </c>
      <c r="DA5" s="5">
        <v>22.4</v>
      </c>
      <c r="DB5" s="5">
        <v>28</v>
      </c>
      <c r="DC5" s="5">
        <v>33.5</v>
      </c>
      <c r="DD5" s="5">
        <v>40</v>
      </c>
      <c r="DE5" s="5">
        <v>45</v>
      </c>
      <c r="DF5" s="5">
        <v>50</v>
      </c>
      <c r="DG5" s="5">
        <v>54</v>
      </c>
      <c r="DH5" s="5">
        <v>61.5</v>
      </c>
      <c r="DI5" s="5">
        <v>67</v>
      </c>
      <c r="DJ5" s="5">
        <v>73.5</v>
      </c>
      <c r="DK5" s="5">
        <v>78.5</v>
      </c>
      <c r="DL5" s="5">
        <v>85</v>
      </c>
      <c r="DM5" s="5">
        <v>90</v>
      </c>
      <c r="DN5" s="5">
        <v>95</v>
      </c>
      <c r="DO5" s="5">
        <v>100</v>
      </c>
      <c r="DP5" s="5">
        <v>104</v>
      </c>
      <c r="DQ5" s="5">
        <v>108</v>
      </c>
      <c r="DR5" s="5">
        <v>117</v>
      </c>
      <c r="DS5" s="5">
        <v>121</v>
      </c>
      <c r="DT5" s="5">
        <v>130</v>
      </c>
      <c r="DU5" s="5">
        <v>135</v>
      </c>
      <c r="DV5" s="5">
        <v>140</v>
      </c>
      <c r="DW5" s="5">
        <v>145</v>
      </c>
      <c r="DX5" s="5">
        <v>150</v>
      </c>
      <c r="DY5" s="5">
        <v>154</v>
      </c>
      <c r="DZ5" s="5">
        <v>158</v>
      </c>
      <c r="EA5" s="5">
        <v>162</v>
      </c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</row>
    <row r="6" spans="1:164" ht="31.8" thickBot="1" x14ac:dyDescent="0.35">
      <c r="A6" s="1" t="s">
        <v>45</v>
      </c>
      <c r="B6" s="3" t="s">
        <v>7</v>
      </c>
      <c r="C6" s="5">
        <v>250</v>
      </c>
      <c r="D6" s="11" t="s">
        <v>25</v>
      </c>
      <c r="E6" s="5" t="s">
        <v>37</v>
      </c>
      <c r="F6" s="5" t="s">
        <v>37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T6" s="5" t="s">
        <v>37</v>
      </c>
      <c r="U6" s="5" t="s">
        <v>37</v>
      </c>
      <c r="V6" s="5" t="s">
        <v>37</v>
      </c>
      <c r="W6" s="5" t="s">
        <v>37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37</v>
      </c>
      <c r="AF6" s="5" t="s">
        <v>37</v>
      </c>
      <c r="AG6" s="5" t="s">
        <v>37</v>
      </c>
      <c r="AH6" s="5" t="s">
        <v>37</v>
      </c>
      <c r="AI6" s="5" t="s">
        <v>37</v>
      </c>
      <c r="AJ6" s="5" t="s">
        <v>37</v>
      </c>
      <c r="AK6" s="5" t="s">
        <v>37</v>
      </c>
      <c r="AL6" s="5" t="s">
        <v>37</v>
      </c>
      <c r="AM6" s="5" t="s">
        <v>37</v>
      </c>
      <c r="AN6" s="5" t="s">
        <v>37</v>
      </c>
      <c r="AO6" s="5" t="s">
        <v>37</v>
      </c>
      <c r="AP6" s="5" t="s">
        <v>37</v>
      </c>
      <c r="AQ6" s="5" t="s">
        <v>37</v>
      </c>
      <c r="AR6" s="5" t="s">
        <v>37</v>
      </c>
      <c r="AS6" s="5" t="s">
        <v>37</v>
      </c>
      <c r="AT6" s="5" t="s">
        <v>37</v>
      </c>
      <c r="AU6" s="5" t="s">
        <v>37</v>
      </c>
      <c r="AV6" s="5" t="s">
        <v>37</v>
      </c>
      <c r="AW6" s="5" t="s">
        <v>37</v>
      </c>
      <c r="AX6" s="5" t="s">
        <v>37</v>
      </c>
      <c r="AY6" s="5" t="s">
        <v>37</v>
      </c>
      <c r="AZ6" s="5" t="s">
        <v>37</v>
      </c>
      <c r="BA6" s="5" t="s">
        <v>37</v>
      </c>
      <c r="BB6" s="5" t="s">
        <v>37</v>
      </c>
      <c r="BC6" s="5" t="s">
        <v>37</v>
      </c>
      <c r="BD6" s="5" t="s">
        <v>37</v>
      </c>
      <c r="BE6" s="5" t="s">
        <v>37</v>
      </c>
      <c r="BF6" s="5" t="s">
        <v>37</v>
      </c>
      <c r="BG6" s="5" t="s">
        <v>37</v>
      </c>
      <c r="BH6" s="5" t="s">
        <v>37</v>
      </c>
      <c r="BI6" s="5" t="s">
        <v>37</v>
      </c>
      <c r="BJ6" s="5" t="s">
        <v>37</v>
      </c>
      <c r="BK6" s="5" t="s">
        <v>37</v>
      </c>
      <c r="BL6" s="5">
        <v>100</v>
      </c>
      <c r="BM6" s="5">
        <v>112.5</v>
      </c>
      <c r="BN6" s="5">
        <v>125</v>
      </c>
      <c r="BO6" s="5">
        <v>150</v>
      </c>
      <c r="BP6" s="5">
        <v>250</v>
      </c>
      <c r="BQ6" s="5">
        <v>300</v>
      </c>
      <c r="BR6" s="5">
        <v>200</v>
      </c>
      <c r="BS6" s="5">
        <v>223</v>
      </c>
      <c r="BT6" s="5">
        <v>140</v>
      </c>
      <c r="BU6" s="5">
        <v>180</v>
      </c>
      <c r="BV6" s="5">
        <v>215</v>
      </c>
      <c r="BW6" s="5">
        <v>100</v>
      </c>
      <c r="BX6" s="5">
        <v>112.5</v>
      </c>
      <c r="BY6" s="5">
        <v>125</v>
      </c>
      <c r="BZ6" s="5">
        <v>200</v>
      </c>
      <c r="CA6" s="5">
        <v>250</v>
      </c>
      <c r="CB6" s="5">
        <v>300</v>
      </c>
      <c r="CC6" s="5">
        <v>350</v>
      </c>
      <c r="CD6" s="5">
        <v>400</v>
      </c>
      <c r="CE6" s="5">
        <v>450</v>
      </c>
      <c r="CF6" s="5">
        <v>500</v>
      </c>
      <c r="CG6" s="5">
        <v>550</v>
      </c>
      <c r="CH6" s="5">
        <v>600</v>
      </c>
      <c r="CI6" s="5">
        <v>650</v>
      </c>
      <c r="CJ6" s="5">
        <v>700</v>
      </c>
      <c r="CK6" s="5">
        <v>750</v>
      </c>
      <c r="CL6" s="5">
        <v>800</v>
      </c>
      <c r="CM6" s="5">
        <v>850</v>
      </c>
      <c r="CN6" s="5">
        <v>900</v>
      </c>
      <c r="CO6" s="5">
        <v>950</v>
      </c>
      <c r="CP6" s="5">
        <v>1000</v>
      </c>
      <c r="CQ6" s="5">
        <v>1050</v>
      </c>
      <c r="CR6" s="5">
        <v>1100</v>
      </c>
      <c r="CS6" s="5">
        <v>1150</v>
      </c>
      <c r="CT6" s="5">
        <v>1200</v>
      </c>
      <c r="CU6" s="5">
        <v>1250</v>
      </c>
      <c r="CV6" s="5">
        <v>1300</v>
      </c>
      <c r="CW6" s="5">
        <v>1350</v>
      </c>
      <c r="CX6" s="5">
        <v>1400</v>
      </c>
      <c r="CY6" s="5">
        <v>1450</v>
      </c>
      <c r="CZ6" s="5">
        <v>1500</v>
      </c>
      <c r="DA6" s="5">
        <v>200</v>
      </c>
      <c r="DB6" s="5">
        <v>250</v>
      </c>
      <c r="DC6" s="5">
        <v>300</v>
      </c>
      <c r="DD6" s="5">
        <v>350</v>
      </c>
      <c r="DE6" s="5">
        <v>400</v>
      </c>
      <c r="DF6" s="5">
        <v>450</v>
      </c>
      <c r="DG6" s="5">
        <v>500</v>
      </c>
      <c r="DH6" s="5">
        <v>550</v>
      </c>
      <c r="DI6" s="5">
        <v>600</v>
      </c>
      <c r="DJ6" s="5">
        <v>650</v>
      </c>
      <c r="DK6" s="5">
        <v>700</v>
      </c>
      <c r="DL6" s="5">
        <v>750</v>
      </c>
      <c r="DM6" s="5">
        <v>800</v>
      </c>
      <c r="DN6" s="5">
        <v>850</v>
      </c>
      <c r="DO6" s="5">
        <v>900</v>
      </c>
      <c r="DP6" s="5">
        <v>950</v>
      </c>
      <c r="DQ6" s="5">
        <v>1000</v>
      </c>
      <c r="DR6" s="5">
        <v>1050</v>
      </c>
      <c r="DS6" s="5">
        <v>1100</v>
      </c>
      <c r="DT6" s="5">
        <v>1150</v>
      </c>
      <c r="DU6" s="5">
        <v>1200</v>
      </c>
      <c r="DV6" s="5">
        <v>1250</v>
      </c>
      <c r="DW6" s="5">
        <v>1300</v>
      </c>
      <c r="DX6" s="5">
        <v>1350</v>
      </c>
      <c r="DY6" s="5">
        <v>1400</v>
      </c>
      <c r="DZ6" s="5">
        <v>1450</v>
      </c>
      <c r="EA6" s="5">
        <v>1500</v>
      </c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</row>
    <row r="7" spans="1:164" ht="31.8" thickBot="1" x14ac:dyDescent="0.35">
      <c r="A7" s="1" t="s">
        <v>48</v>
      </c>
      <c r="B7" s="3" t="s">
        <v>3</v>
      </c>
      <c r="C7" s="5" t="s">
        <v>490</v>
      </c>
      <c r="D7" s="11" t="s">
        <v>27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127</v>
      </c>
      <c r="K7" s="5" t="s">
        <v>9</v>
      </c>
      <c r="L7" s="5" t="s">
        <v>9</v>
      </c>
      <c r="M7" s="5" t="s">
        <v>9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9</v>
      </c>
      <c r="S7" s="5" t="s">
        <v>9</v>
      </c>
      <c r="T7" s="5" t="s">
        <v>9</v>
      </c>
      <c r="U7" s="5" t="s">
        <v>9</v>
      </c>
      <c r="V7" s="5" t="s">
        <v>9</v>
      </c>
      <c r="W7" s="5" t="s">
        <v>9</v>
      </c>
      <c r="X7" s="5" t="s">
        <v>9</v>
      </c>
      <c r="Y7" s="5" t="s">
        <v>9</v>
      </c>
      <c r="Z7" s="5" t="s">
        <v>9</v>
      </c>
      <c r="AA7" s="5" t="s">
        <v>9</v>
      </c>
      <c r="AB7" s="5" t="s">
        <v>9</v>
      </c>
      <c r="AC7" s="5" t="s">
        <v>9</v>
      </c>
      <c r="AD7" s="5" t="s">
        <v>9</v>
      </c>
      <c r="AE7" s="5" t="s">
        <v>9</v>
      </c>
      <c r="AF7" s="5" t="s">
        <v>9</v>
      </c>
      <c r="AG7" s="5" t="s">
        <v>9</v>
      </c>
      <c r="AH7" s="5" t="s">
        <v>9</v>
      </c>
      <c r="AI7" s="5" t="s">
        <v>9</v>
      </c>
      <c r="AJ7" s="5" t="s">
        <v>9</v>
      </c>
      <c r="AK7" s="5" t="s">
        <v>9</v>
      </c>
      <c r="AL7" s="5" t="s">
        <v>9</v>
      </c>
      <c r="AM7" s="5" t="s">
        <v>9</v>
      </c>
      <c r="AN7" s="5" t="s">
        <v>9</v>
      </c>
      <c r="AO7" s="5" t="s">
        <v>9</v>
      </c>
      <c r="AP7" s="5" t="s">
        <v>9</v>
      </c>
      <c r="AQ7" s="5" t="s">
        <v>9</v>
      </c>
      <c r="AR7" s="5" t="s">
        <v>9</v>
      </c>
      <c r="AS7" s="5" t="s">
        <v>9</v>
      </c>
      <c r="AT7" s="5" t="s">
        <v>9</v>
      </c>
      <c r="AU7" s="5" t="s">
        <v>9</v>
      </c>
      <c r="AV7" s="5" t="s">
        <v>9</v>
      </c>
      <c r="AW7" s="5" t="s">
        <v>9</v>
      </c>
      <c r="AX7" s="5" t="s">
        <v>9</v>
      </c>
      <c r="AY7" s="5" t="s">
        <v>9</v>
      </c>
      <c r="AZ7" s="5" t="s">
        <v>9</v>
      </c>
      <c r="BA7" s="5" t="s">
        <v>9</v>
      </c>
      <c r="BB7" s="5" t="s">
        <v>9</v>
      </c>
      <c r="BC7" s="5" t="s">
        <v>9</v>
      </c>
      <c r="BD7" s="5" t="s">
        <v>9</v>
      </c>
      <c r="BE7" s="5" t="s">
        <v>127</v>
      </c>
      <c r="BF7" s="5" t="s">
        <v>9</v>
      </c>
      <c r="BG7" s="5" t="s">
        <v>9</v>
      </c>
      <c r="BH7" s="5" t="s">
        <v>9</v>
      </c>
      <c r="BI7" s="5" t="s">
        <v>9</v>
      </c>
      <c r="BJ7" s="5" t="s">
        <v>9</v>
      </c>
      <c r="BK7" s="5" t="s">
        <v>9</v>
      </c>
      <c r="BL7" s="5" t="s">
        <v>127</v>
      </c>
      <c r="BM7" s="5" t="s">
        <v>127</v>
      </c>
      <c r="BN7" s="5" t="s">
        <v>127</v>
      </c>
      <c r="BO7" s="5" t="s">
        <v>127</v>
      </c>
      <c r="BP7" s="5" t="s">
        <v>490</v>
      </c>
      <c r="BQ7" s="5" t="s">
        <v>490</v>
      </c>
      <c r="BR7" s="5" t="s">
        <v>491</v>
      </c>
      <c r="BS7" s="5" t="s">
        <v>491</v>
      </c>
      <c r="BT7" s="5" t="s">
        <v>127</v>
      </c>
      <c r="BU7" s="5" t="s">
        <v>490</v>
      </c>
      <c r="BV7" s="5" t="s">
        <v>490</v>
      </c>
      <c r="BW7" s="5" t="s">
        <v>127</v>
      </c>
      <c r="BX7" s="5" t="s">
        <v>127</v>
      </c>
      <c r="BY7" s="5" t="s">
        <v>127</v>
      </c>
      <c r="BZ7" s="5" t="s">
        <v>490</v>
      </c>
      <c r="CA7" s="5" t="s">
        <v>490</v>
      </c>
      <c r="CB7" s="5" t="s">
        <v>490</v>
      </c>
      <c r="CC7" s="5" t="s">
        <v>490</v>
      </c>
      <c r="CD7" s="5" t="s">
        <v>490</v>
      </c>
      <c r="CE7" s="5" t="s">
        <v>490</v>
      </c>
      <c r="CF7" s="5" t="s">
        <v>490</v>
      </c>
      <c r="CG7" s="5" t="s">
        <v>490</v>
      </c>
      <c r="CH7" s="5" t="s">
        <v>490</v>
      </c>
      <c r="CI7" s="5" t="s">
        <v>490</v>
      </c>
      <c r="CJ7" s="5" t="s">
        <v>490</v>
      </c>
      <c r="CK7" s="5" t="s">
        <v>490</v>
      </c>
      <c r="CL7" s="5" t="s">
        <v>490</v>
      </c>
      <c r="CM7" s="5" t="s">
        <v>490</v>
      </c>
      <c r="CN7" s="5" t="s">
        <v>490</v>
      </c>
      <c r="CO7" s="5" t="s">
        <v>490</v>
      </c>
      <c r="CP7" s="5" t="s">
        <v>490</v>
      </c>
      <c r="CQ7" s="5" t="s">
        <v>490</v>
      </c>
      <c r="CR7" s="5" t="s">
        <v>490</v>
      </c>
      <c r="CS7" s="5" t="s">
        <v>490</v>
      </c>
      <c r="CT7" s="5" t="s">
        <v>490</v>
      </c>
      <c r="CU7" s="5" t="s">
        <v>490</v>
      </c>
      <c r="CV7" s="5" t="s">
        <v>490</v>
      </c>
      <c r="CW7" s="5" t="s">
        <v>490</v>
      </c>
      <c r="CX7" s="5" t="s">
        <v>490</v>
      </c>
      <c r="CY7" s="5" t="s">
        <v>490</v>
      </c>
      <c r="CZ7" s="5" t="s">
        <v>490</v>
      </c>
      <c r="DA7" s="5" t="s">
        <v>490</v>
      </c>
      <c r="DB7" s="5" t="s">
        <v>490</v>
      </c>
      <c r="DC7" s="5" t="s">
        <v>490</v>
      </c>
      <c r="DD7" s="5" t="s">
        <v>490</v>
      </c>
      <c r="DE7" s="5" t="s">
        <v>490</v>
      </c>
      <c r="DF7" s="5" t="s">
        <v>490</v>
      </c>
      <c r="DG7" s="5" t="s">
        <v>490</v>
      </c>
      <c r="DH7" s="5" t="s">
        <v>490</v>
      </c>
      <c r="DI7" s="5" t="s">
        <v>490</v>
      </c>
      <c r="DJ7" s="5" t="s">
        <v>490</v>
      </c>
      <c r="DK7" s="5" t="s">
        <v>490</v>
      </c>
      <c r="DL7" s="5" t="s">
        <v>490</v>
      </c>
      <c r="DM7" s="5" t="s">
        <v>490</v>
      </c>
      <c r="DN7" s="5" t="s">
        <v>490</v>
      </c>
      <c r="DO7" s="5" t="s">
        <v>490</v>
      </c>
      <c r="DP7" s="5" t="s">
        <v>490</v>
      </c>
      <c r="DQ7" s="5" t="s">
        <v>490</v>
      </c>
      <c r="DR7" s="5" t="s">
        <v>490</v>
      </c>
      <c r="DS7" s="5" t="s">
        <v>490</v>
      </c>
      <c r="DT7" s="5" t="s">
        <v>490</v>
      </c>
      <c r="DU7" s="5" t="s">
        <v>490</v>
      </c>
      <c r="DV7" s="5" t="s">
        <v>490</v>
      </c>
      <c r="DW7" s="5" t="s">
        <v>490</v>
      </c>
      <c r="DX7" s="5" t="s">
        <v>490</v>
      </c>
      <c r="DY7" s="5" t="s">
        <v>490</v>
      </c>
      <c r="DZ7" s="5" t="s">
        <v>490</v>
      </c>
      <c r="EA7" s="5" t="s">
        <v>490</v>
      </c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</row>
    <row r="8" spans="1:164" ht="31.8" thickBot="1" x14ac:dyDescent="0.35">
      <c r="A8" s="1" t="s">
        <v>47</v>
      </c>
      <c r="B8" s="3" t="s">
        <v>6</v>
      </c>
      <c r="C8" s="5">
        <v>6.85</v>
      </c>
      <c r="D8" s="11" t="s">
        <v>26</v>
      </c>
      <c r="E8" s="5">
        <v>0.435</v>
      </c>
      <c r="F8" s="5">
        <v>0.6</v>
      </c>
      <c r="G8" s="5">
        <v>0.78</v>
      </c>
      <c r="H8" s="5">
        <v>0.995</v>
      </c>
      <c r="I8" s="5">
        <v>1.37</v>
      </c>
      <c r="J8" s="5">
        <v>1.58</v>
      </c>
      <c r="K8" s="5">
        <v>2.09</v>
      </c>
      <c r="L8" s="5">
        <v>2.12</v>
      </c>
      <c r="M8" s="5">
        <v>2.4</v>
      </c>
      <c r="N8" s="5">
        <v>0.36</v>
      </c>
      <c r="O8" s="5">
        <v>0.496</v>
      </c>
      <c r="P8" s="5">
        <v>0.73399999999999999</v>
      </c>
      <c r="Q8" s="5">
        <v>0.85</v>
      </c>
      <c r="R8" s="5">
        <v>1.04</v>
      </c>
      <c r="S8" s="5">
        <v>1.53</v>
      </c>
      <c r="T8" s="5">
        <v>1.89</v>
      </c>
      <c r="U8" s="5">
        <v>0.44</v>
      </c>
      <c r="V8" s="5">
        <v>0.6</v>
      </c>
      <c r="W8" s="5">
        <v>0.78</v>
      </c>
      <c r="X8" s="5">
        <v>0.995</v>
      </c>
      <c r="Y8" s="5">
        <v>1.37</v>
      </c>
      <c r="Z8" s="5">
        <v>1.58</v>
      </c>
      <c r="AA8" s="5">
        <v>2.09</v>
      </c>
      <c r="AB8" s="5">
        <v>2.12</v>
      </c>
      <c r="AC8" s="5">
        <v>2.4</v>
      </c>
      <c r="AD8" s="5">
        <v>0.45800000000000002</v>
      </c>
      <c r="AE8" s="5">
        <v>0.67</v>
      </c>
      <c r="AF8" s="5">
        <v>0.78</v>
      </c>
      <c r="AG8" s="5">
        <v>0.98</v>
      </c>
      <c r="AH8" s="5">
        <v>1.29</v>
      </c>
      <c r="AI8" s="5">
        <v>1.72</v>
      </c>
      <c r="AJ8" s="5">
        <v>2.15</v>
      </c>
      <c r="AK8" s="5">
        <v>0.45500000000000002</v>
      </c>
      <c r="AL8" s="5">
        <v>0.62</v>
      </c>
      <c r="AM8" s="5">
        <v>0.78500000000000003</v>
      </c>
      <c r="AN8" s="5">
        <v>0.94</v>
      </c>
      <c r="AO8" s="5">
        <v>1.34</v>
      </c>
      <c r="AP8" s="5">
        <v>1.67</v>
      </c>
      <c r="AQ8" s="5">
        <v>2.1800000000000002</v>
      </c>
      <c r="AR8" s="5">
        <v>0.46500000000000002</v>
      </c>
      <c r="AS8" s="5">
        <v>0.55000000000000004</v>
      </c>
      <c r="AT8" s="5">
        <v>0.68400000000000005</v>
      </c>
      <c r="AU8" s="5">
        <v>1</v>
      </c>
      <c r="AV8" s="5">
        <v>1.3149999999999999</v>
      </c>
      <c r="AW8" s="5">
        <v>1.72</v>
      </c>
      <c r="AX8" s="5">
        <v>2.15</v>
      </c>
      <c r="AY8" s="5">
        <v>0.46500000000000002</v>
      </c>
      <c r="AZ8" s="5">
        <v>0.55000000000000004</v>
      </c>
      <c r="BA8" s="5">
        <v>0.7</v>
      </c>
      <c r="BB8" s="5">
        <v>0.95199999999999996</v>
      </c>
      <c r="BC8" s="5">
        <v>1.3149999999999999</v>
      </c>
      <c r="BD8" s="5">
        <v>1.78</v>
      </c>
      <c r="BE8" s="5">
        <v>2.23</v>
      </c>
      <c r="BF8" s="5">
        <v>1.375</v>
      </c>
      <c r="BG8" s="5">
        <v>1.82</v>
      </c>
      <c r="BH8" s="5">
        <v>2.27</v>
      </c>
      <c r="BI8" s="5">
        <v>2.71</v>
      </c>
      <c r="BJ8" s="5">
        <v>1.52</v>
      </c>
      <c r="BK8" s="5">
        <v>2.67</v>
      </c>
      <c r="BL8" s="5">
        <v>2.25</v>
      </c>
      <c r="BM8" s="5">
        <v>2.66</v>
      </c>
      <c r="BN8" s="5">
        <v>3.08</v>
      </c>
      <c r="BO8" s="5">
        <v>3.97</v>
      </c>
      <c r="BP8" s="5">
        <v>6.72</v>
      </c>
      <c r="BQ8" s="5">
        <v>8.93</v>
      </c>
      <c r="BR8" s="5">
        <v>6.3</v>
      </c>
      <c r="BS8" s="5">
        <v>7.8</v>
      </c>
      <c r="BT8" s="5">
        <v>4.3899999999999997</v>
      </c>
      <c r="BU8" s="5">
        <v>5.91</v>
      </c>
      <c r="BV8" s="5">
        <v>7.51</v>
      </c>
      <c r="BW8" s="5">
        <v>2.81</v>
      </c>
      <c r="BX8" s="5">
        <v>3.28</v>
      </c>
      <c r="BY8" s="5">
        <v>4.01</v>
      </c>
      <c r="BZ8" s="5">
        <v>5.32</v>
      </c>
      <c r="CA8" s="5">
        <v>7.26</v>
      </c>
      <c r="CB8" s="5">
        <v>9.26</v>
      </c>
      <c r="CC8" s="5">
        <v>11.35</v>
      </c>
      <c r="CD8" s="5">
        <v>12.15</v>
      </c>
      <c r="CE8" s="5">
        <v>14.82</v>
      </c>
      <c r="CF8" s="5">
        <v>16.239999999999998</v>
      </c>
      <c r="CG8" s="5">
        <v>16.52</v>
      </c>
      <c r="CH8" s="5">
        <v>18.52</v>
      </c>
      <c r="CI8" s="5">
        <v>20.61</v>
      </c>
      <c r="CJ8" s="5">
        <v>21.41</v>
      </c>
      <c r="CK8" s="5">
        <v>23.5</v>
      </c>
      <c r="CL8" s="5">
        <v>26.17</v>
      </c>
      <c r="CM8" s="5">
        <v>26.97</v>
      </c>
      <c r="CN8" s="5">
        <v>29.64</v>
      </c>
      <c r="CO8" s="5">
        <v>31.06</v>
      </c>
      <c r="CP8" s="5">
        <v>32.479999999999997</v>
      </c>
      <c r="CQ8" s="5">
        <v>33.340000000000003</v>
      </c>
      <c r="CR8" s="5">
        <v>34.76</v>
      </c>
      <c r="CS8" s="5">
        <v>37.520000000000003</v>
      </c>
      <c r="CT8" s="5">
        <v>38.32</v>
      </c>
      <c r="CU8" s="5">
        <v>40.99</v>
      </c>
      <c r="CV8" s="5">
        <v>41.79</v>
      </c>
      <c r="CW8" s="5">
        <v>44.46</v>
      </c>
      <c r="CX8" s="5">
        <v>45.88</v>
      </c>
      <c r="CY8" s="5">
        <v>47.3</v>
      </c>
      <c r="CZ8" s="5">
        <v>48.72</v>
      </c>
      <c r="DA8" s="5">
        <v>5.65</v>
      </c>
      <c r="DB8" s="5">
        <v>7.09</v>
      </c>
      <c r="DC8" s="5">
        <v>9.9700000000000006</v>
      </c>
      <c r="DD8" s="5">
        <v>12.08</v>
      </c>
      <c r="DE8" s="5">
        <v>13.92</v>
      </c>
      <c r="DF8" s="5">
        <v>15.07</v>
      </c>
      <c r="DG8" s="5">
        <v>16.5</v>
      </c>
      <c r="DH8" s="5">
        <v>17.059999999999999</v>
      </c>
      <c r="DI8" s="5">
        <v>19.940000000000001</v>
      </c>
      <c r="DJ8" s="5">
        <v>22.05</v>
      </c>
      <c r="DK8" s="5">
        <v>23.89</v>
      </c>
      <c r="DL8" s="5">
        <v>26</v>
      </c>
      <c r="DM8" s="5">
        <v>27.15</v>
      </c>
      <c r="DN8" s="5">
        <v>28.99</v>
      </c>
      <c r="DO8" s="5">
        <v>30.14</v>
      </c>
      <c r="DP8" s="5">
        <v>31.57</v>
      </c>
      <c r="DQ8" s="5">
        <v>33</v>
      </c>
      <c r="DR8" s="5">
        <v>35.01</v>
      </c>
      <c r="DS8" s="5">
        <v>36.44</v>
      </c>
      <c r="DT8" s="5">
        <v>39.229999999999997</v>
      </c>
      <c r="DU8" s="5">
        <v>41.07</v>
      </c>
      <c r="DV8" s="5">
        <v>42.22</v>
      </c>
      <c r="DW8" s="5">
        <v>44.06</v>
      </c>
      <c r="DX8" s="5">
        <v>45.21</v>
      </c>
      <c r="DY8" s="5">
        <v>46.64</v>
      </c>
      <c r="DZ8" s="5">
        <v>48.07</v>
      </c>
      <c r="EA8" s="5">
        <v>49.5</v>
      </c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</row>
    <row r="9" spans="1:164" ht="31.8" thickBot="1" x14ac:dyDescent="0.35">
      <c r="A9" s="1" t="s">
        <v>50</v>
      </c>
      <c r="B9" s="3" t="s">
        <v>6</v>
      </c>
      <c r="C9" s="5">
        <v>20</v>
      </c>
      <c r="D9" s="11" t="s">
        <v>28</v>
      </c>
      <c r="E9" s="5">
        <v>8.8000000000000007</v>
      </c>
      <c r="F9" s="5">
        <v>8.8000000000000007</v>
      </c>
      <c r="G9" s="5">
        <v>8.8000000000000007</v>
      </c>
      <c r="H9" s="5" t="s">
        <v>62</v>
      </c>
      <c r="I9" s="5" t="s">
        <v>62</v>
      </c>
      <c r="J9" s="5">
        <v>11.6</v>
      </c>
      <c r="K9" s="5">
        <v>14.1</v>
      </c>
      <c r="L9" s="5">
        <v>19.600000000000001</v>
      </c>
      <c r="M9" s="5">
        <v>19.600000000000001</v>
      </c>
      <c r="N9" s="5">
        <v>8.8000000000000007</v>
      </c>
      <c r="O9" s="5">
        <v>8.8000000000000007</v>
      </c>
      <c r="P9" s="5">
        <v>8.8000000000000007</v>
      </c>
      <c r="Q9" s="5">
        <v>12.5</v>
      </c>
      <c r="R9" s="5">
        <v>12.5</v>
      </c>
      <c r="S9" s="5">
        <v>12.5</v>
      </c>
      <c r="T9" s="5">
        <v>17.5</v>
      </c>
      <c r="U9" s="5">
        <v>2.2000000000000002</v>
      </c>
      <c r="V9" s="5">
        <v>2.9</v>
      </c>
      <c r="W9" s="5">
        <v>3.8</v>
      </c>
      <c r="X9" s="5">
        <v>4.7</v>
      </c>
      <c r="Y9" s="5">
        <v>6.3</v>
      </c>
      <c r="Z9" s="5">
        <v>7.5</v>
      </c>
      <c r="AA9" s="5">
        <v>9.8000000000000007</v>
      </c>
      <c r="AB9" s="5">
        <v>10</v>
      </c>
      <c r="AC9" s="5">
        <v>11.3</v>
      </c>
      <c r="AD9" s="5" t="s">
        <v>76</v>
      </c>
      <c r="AE9" s="5" t="s">
        <v>76</v>
      </c>
      <c r="AF9" s="5">
        <v>8.8000000000000007</v>
      </c>
      <c r="AG9" s="5">
        <v>10</v>
      </c>
      <c r="AH9" s="5">
        <v>10</v>
      </c>
      <c r="AI9" s="5">
        <v>10</v>
      </c>
      <c r="AJ9" s="5">
        <v>11</v>
      </c>
      <c r="AK9" s="5">
        <v>2.2999999999999998</v>
      </c>
      <c r="AL9" s="5">
        <v>3.1</v>
      </c>
      <c r="AM9" s="5">
        <v>3.8</v>
      </c>
      <c r="AN9" s="5">
        <v>4.5</v>
      </c>
      <c r="AO9" s="5">
        <v>6.3</v>
      </c>
      <c r="AP9" s="5">
        <v>7.8</v>
      </c>
      <c r="AQ9" s="5">
        <v>10.199999999999999</v>
      </c>
      <c r="AR9" s="5">
        <v>7.3</v>
      </c>
      <c r="AS9" s="5" t="s">
        <v>76</v>
      </c>
      <c r="AT9" s="5" t="s">
        <v>76</v>
      </c>
      <c r="AU9" s="5">
        <v>10</v>
      </c>
      <c r="AV9" s="5">
        <v>10</v>
      </c>
      <c r="AW9" s="5">
        <v>10</v>
      </c>
      <c r="AX9" s="5">
        <v>11</v>
      </c>
      <c r="AY9" s="5">
        <v>3.1</v>
      </c>
      <c r="AZ9" s="5">
        <v>2.8</v>
      </c>
      <c r="BA9" s="5">
        <v>3.4</v>
      </c>
      <c r="BB9" s="5">
        <v>5.0999999999999996</v>
      </c>
      <c r="BC9" s="5">
        <v>6.1</v>
      </c>
      <c r="BD9" s="5">
        <v>8.1999999999999993</v>
      </c>
      <c r="BE9" s="5">
        <v>10.199999999999999</v>
      </c>
      <c r="BF9" s="5">
        <v>16</v>
      </c>
      <c r="BG9" s="5">
        <v>16</v>
      </c>
      <c r="BH9" s="5">
        <v>16</v>
      </c>
      <c r="BI9" s="5">
        <v>23</v>
      </c>
      <c r="BJ9" s="5">
        <v>9.6999999999999993</v>
      </c>
      <c r="BK9" s="5">
        <v>16</v>
      </c>
      <c r="BL9" s="5">
        <v>20</v>
      </c>
      <c r="BM9" s="5">
        <v>27</v>
      </c>
      <c r="BN9" s="5">
        <v>27</v>
      </c>
      <c r="BO9" s="5">
        <v>27</v>
      </c>
      <c r="BP9" s="5">
        <v>22</v>
      </c>
      <c r="BQ9" s="5">
        <v>24</v>
      </c>
      <c r="BR9" s="5">
        <v>26.5</v>
      </c>
      <c r="BS9" s="5">
        <v>26.5</v>
      </c>
      <c r="BT9" s="5">
        <v>21.1</v>
      </c>
      <c r="BU9" s="5">
        <v>18.5</v>
      </c>
      <c r="BV9" s="5">
        <v>18.5</v>
      </c>
      <c r="BW9" s="5">
        <v>17.5</v>
      </c>
      <c r="BX9" s="5">
        <v>27</v>
      </c>
      <c r="BY9" s="5">
        <v>27</v>
      </c>
      <c r="BZ9" s="5">
        <v>16.100000000000001</v>
      </c>
      <c r="CA9" s="5">
        <v>21.2</v>
      </c>
      <c r="CB9" s="5">
        <v>22.5</v>
      </c>
      <c r="CC9" s="5">
        <v>30.2</v>
      </c>
      <c r="CD9" s="5">
        <v>33.700000000000003</v>
      </c>
      <c r="CE9" s="5">
        <v>34.5</v>
      </c>
      <c r="CF9" s="5">
        <v>38.5</v>
      </c>
      <c r="CG9" s="5">
        <v>43.7</v>
      </c>
      <c r="CH9" s="5">
        <v>45</v>
      </c>
      <c r="CI9" s="5">
        <v>52.7</v>
      </c>
      <c r="CJ9" s="5">
        <v>56.2</v>
      </c>
      <c r="CK9" s="5">
        <v>63.9</v>
      </c>
      <c r="CL9" s="5">
        <v>64.7</v>
      </c>
      <c r="CM9" s="5">
        <v>68.2</v>
      </c>
      <c r="CN9" s="5">
        <v>69</v>
      </c>
      <c r="CO9" s="5">
        <v>73</v>
      </c>
      <c r="CP9" s="5">
        <v>77</v>
      </c>
      <c r="CQ9" s="5">
        <v>79.5</v>
      </c>
      <c r="CR9" s="5">
        <v>83.5</v>
      </c>
      <c r="CS9" s="5">
        <v>94.9</v>
      </c>
      <c r="CT9" s="5">
        <v>98.4</v>
      </c>
      <c r="CU9" s="5">
        <v>99.2</v>
      </c>
      <c r="CV9" s="5">
        <v>102.7</v>
      </c>
      <c r="CW9" s="5">
        <v>103.5</v>
      </c>
      <c r="CX9" s="5">
        <v>107.5</v>
      </c>
      <c r="CY9" s="5">
        <v>111.5</v>
      </c>
      <c r="CZ9" s="5">
        <v>115.5</v>
      </c>
      <c r="DA9" s="5">
        <v>16.100000000000001</v>
      </c>
      <c r="DB9" s="5">
        <v>21.5</v>
      </c>
      <c r="DC9" s="5">
        <v>22.9</v>
      </c>
      <c r="DD9" s="5">
        <v>30.2</v>
      </c>
      <c r="DE9" s="5">
        <v>34</v>
      </c>
      <c r="DF9" s="5">
        <v>34.700000000000003</v>
      </c>
      <c r="DG9" s="5">
        <v>39.700000000000003</v>
      </c>
      <c r="DH9" s="5">
        <v>44.4</v>
      </c>
      <c r="DI9" s="5">
        <v>45.8</v>
      </c>
      <c r="DJ9" s="5">
        <v>53.1</v>
      </c>
      <c r="DK9" s="5">
        <v>56.9</v>
      </c>
      <c r="DL9" s="5">
        <v>64.2</v>
      </c>
      <c r="DM9" s="5">
        <v>64.900000000000006</v>
      </c>
      <c r="DN9" s="5">
        <v>68.7</v>
      </c>
      <c r="DO9" s="5">
        <v>69.400000000000006</v>
      </c>
      <c r="DP9" s="5">
        <v>74.400000000000006</v>
      </c>
      <c r="DQ9" s="5">
        <v>79.400000000000006</v>
      </c>
      <c r="DR9" s="5">
        <v>80.5</v>
      </c>
      <c r="DS9" s="5">
        <v>85.5</v>
      </c>
      <c r="DT9" s="5">
        <v>95.1</v>
      </c>
      <c r="DU9" s="5">
        <v>98.9</v>
      </c>
      <c r="DV9" s="5">
        <v>99.6</v>
      </c>
      <c r="DW9" s="5">
        <v>103.4</v>
      </c>
      <c r="DX9" s="5">
        <v>104.1</v>
      </c>
      <c r="DY9" s="5">
        <v>109.1</v>
      </c>
      <c r="DZ9" s="5">
        <v>114.1</v>
      </c>
      <c r="EA9" s="5">
        <v>119.1</v>
      </c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</row>
    <row r="10" spans="1:164" ht="25.65" customHeight="1" thickBot="1" x14ac:dyDescent="0.35">
      <c r="A10" s="1" t="s">
        <v>49</v>
      </c>
      <c r="B10" s="3" t="s">
        <v>60</v>
      </c>
      <c r="C10" s="5"/>
      <c r="D10" s="11"/>
      <c r="E10" s="5">
        <v>10</v>
      </c>
      <c r="F10" s="5">
        <v>10</v>
      </c>
      <c r="G10" s="5">
        <v>10</v>
      </c>
      <c r="H10" s="5" t="s">
        <v>63</v>
      </c>
      <c r="I10" s="5" t="s">
        <v>63</v>
      </c>
      <c r="J10" s="5" t="s">
        <v>63</v>
      </c>
      <c r="K10" s="5">
        <v>15</v>
      </c>
      <c r="L10" s="5">
        <v>20</v>
      </c>
      <c r="M10" s="5">
        <v>20</v>
      </c>
      <c r="N10" s="5">
        <v>10</v>
      </c>
      <c r="O10" s="5">
        <v>10</v>
      </c>
      <c r="P10" s="5">
        <v>10</v>
      </c>
      <c r="Q10" s="5">
        <v>16</v>
      </c>
      <c r="R10" s="5">
        <v>16</v>
      </c>
      <c r="S10" s="5">
        <v>16</v>
      </c>
      <c r="T10" s="5">
        <v>20</v>
      </c>
      <c r="U10" s="5">
        <v>10</v>
      </c>
      <c r="V10" s="5">
        <v>10</v>
      </c>
      <c r="W10" s="5">
        <v>10</v>
      </c>
      <c r="X10" s="5">
        <v>15</v>
      </c>
      <c r="Y10" s="5">
        <v>15</v>
      </c>
      <c r="Z10" s="5">
        <v>15</v>
      </c>
      <c r="AA10" s="5">
        <v>15</v>
      </c>
      <c r="AB10" s="5">
        <v>20</v>
      </c>
      <c r="AC10" s="5">
        <v>20</v>
      </c>
      <c r="AD10" s="5" t="s">
        <v>63</v>
      </c>
      <c r="AE10" s="5" t="s">
        <v>63</v>
      </c>
      <c r="AF10" s="5" t="s">
        <v>63</v>
      </c>
      <c r="AG10" s="5" t="s">
        <v>63</v>
      </c>
      <c r="AH10" s="5" t="s">
        <v>63</v>
      </c>
      <c r="AI10" s="5" t="s">
        <v>63</v>
      </c>
      <c r="AJ10" s="5" t="s">
        <v>63</v>
      </c>
      <c r="AK10" s="5" t="s">
        <v>63</v>
      </c>
      <c r="AL10" s="5" t="s">
        <v>63</v>
      </c>
      <c r="AM10" s="5" t="s">
        <v>63</v>
      </c>
      <c r="AN10" s="5" t="s">
        <v>63</v>
      </c>
      <c r="AO10" s="5" t="s">
        <v>63</v>
      </c>
      <c r="AP10" s="5" t="s">
        <v>63</v>
      </c>
      <c r="AQ10" s="5" t="s">
        <v>63</v>
      </c>
      <c r="AR10" s="5" t="s">
        <v>63</v>
      </c>
      <c r="AS10" s="5" t="s">
        <v>63</v>
      </c>
      <c r="AT10" s="5" t="s">
        <v>63</v>
      </c>
      <c r="AU10" s="5" t="s">
        <v>63</v>
      </c>
      <c r="AV10" s="5" t="s">
        <v>63</v>
      </c>
      <c r="AW10" s="5" t="s">
        <v>63</v>
      </c>
      <c r="AX10" s="5" t="s">
        <v>63</v>
      </c>
      <c r="AY10" s="5" t="s">
        <v>63</v>
      </c>
      <c r="AZ10" s="5" t="s">
        <v>63</v>
      </c>
      <c r="BA10" s="5" t="s">
        <v>63</v>
      </c>
      <c r="BB10" s="5" t="s">
        <v>63</v>
      </c>
      <c r="BC10" s="5" t="s">
        <v>63</v>
      </c>
      <c r="BD10" s="5" t="s">
        <v>63</v>
      </c>
      <c r="BE10" s="5" t="s">
        <v>63</v>
      </c>
      <c r="BF10" s="5">
        <v>20</v>
      </c>
      <c r="BG10" s="5">
        <v>20</v>
      </c>
      <c r="BH10" s="5">
        <v>20</v>
      </c>
      <c r="BI10" s="5">
        <v>30</v>
      </c>
      <c r="BJ10" s="5">
        <v>10</v>
      </c>
      <c r="BK10" s="5">
        <v>20</v>
      </c>
      <c r="BL10" s="5">
        <v>25</v>
      </c>
      <c r="BM10" s="5">
        <v>30</v>
      </c>
      <c r="BN10" s="5">
        <v>30</v>
      </c>
      <c r="BO10" s="5">
        <v>30</v>
      </c>
      <c r="BP10" s="5">
        <v>25</v>
      </c>
      <c r="BQ10" s="5">
        <v>30</v>
      </c>
      <c r="BR10" s="5">
        <v>30</v>
      </c>
      <c r="BS10" s="5">
        <v>30</v>
      </c>
      <c r="BT10" s="5">
        <v>30</v>
      </c>
      <c r="BU10" s="5">
        <v>25</v>
      </c>
      <c r="BV10" s="5">
        <v>25</v>
      </c>
      <c r="BW10" s="5">
        <v>25</v>
      </c>
      <c r="BX10" s="5">
        <v>30</v>
      </c>
      <c r="BY10" s="5">
        <v>30</v>
      </c>
      <c r="BZ10" s="5">
        <v>20</v>
      </c>
      <c r="CA10" s="5">
        <v>25</v>
      </c>
      <c r="CB10" s="5">
        <v>25</v>
      </c>
      <c r="CC10" s="5">
        <v>35</v>
      </c>
      <c r="CD10" s="5">
        <v>40</v>
      </c>
      <c r="CE10" s="5">
        <v>40</v>
      </c>
      <c r="CF10" s="5">
        <v>45</v>
      </c>
      <c r="CG10" s="5">
        <v>50</v>
      </c>
      <c r="CH10" s="5">
        <v>50</v>
      </c>
      <c r="CI10" s="5">
        <v>60</v>
      </c>
      <c r="CJ10" s="5">
        <v>70</v>
      </c>
      <c r="CK10" s="5">
        <v>80</v>
      </c>
      <c r="CL10" s="5">
        <v>80</v>
      </c>
      <c r="CM10" s="5">
        <v>80</v>
      </c>
      <c r="CN10" s="5">
        <v>80</v>
      </c>
      <c r="CO10" s="5">
        <v>90</v>
      </c>
      <c r="CP10" s="5">
        <v>90</v>
      </c>
      <c r="CQ10" s="5">
        <v>90</v>
      </c>
      <c r="CR10" s="5">
        <v>100</v>
      </c>
      <c r="CS10" s="5">
        <v>110</v>
      </c>
      <c r="CT10" s="5">
        <v>110</v>
      </c>
      <c r="CU10" s="5">
        <v>110</v>
      </c>
      <c r="CV10" s="5">
        <v>125</v>
      </c>
      <c r="CW10" s="5">
        <v>125</v>
      </c>
      <c r="CX10" s="5">
        <v>125</v>
      </c>
      <c r="CY10" s="5">
        <v>125</v>
      </c>
      <c r="CZ10" s="5">
        <v>150</v>
      </c>
      <c r="DA10" s="5">
        <v>20</v>
      </c>
      <c r="DB10" s="5">
        <v>25</v>
      </c>
      <c r="DC10" s="5">
        <v>30</v>
      </c>
      <c r="DD10" s="5">
        <v>35</v>
      </c>
      <c r="DE10" s="5">
        <v>40</v>
      </c>
      <c r="DF10" s="5">
        <v>40</v>
      </c>
      <c r="DG10" s="5">
        <v>45</v>
      </c>
      <c r="DH10" s="5">
        <v>50</v>
      </c>
      <c r="DI10" s="5">
        <v>60</v>
      </c>
      <c r="DJ10" s="5">
        <v>60</v>
      </c>
      <c r="DK10" s="5">
        <v>70</v>
      </c>
      <c r="DL10" s="5">
        <v>80</v>
      </c>
      <c r="DM10" s="5">
        <v>80</v>
      </c>
      <c r="DN10" s="5">
        <v>80</v>
      </c>
      <c r="DO10" s="5">
        <v>80</v>
      </c>
      <c r="DP10" s="5">
        <v>90</v>
      </c>
      <c r="DQ10" s="5">
        <v>90</v>
      </c>
      <c r="DR10" s="5">
        <v>90</v>
      </c>
      <c r="DS10" s="5">
        <v>100</v>
      </c>
      <c r="DT10" s="5">
        <v>110</v>
      </c>
      <c r="DU10" s="5">
        <v>110</v>
      </c>
      <c r="DV10" s="5">
        <v>110</v>
      </c>
      <c r="DW10" s="5">
        <v>125</v>
      </c>
      <c r="DX10" s="5">
        <v>125</v>
      </c>
      <c r="DY10" s="5">
        <v>125</v>
      </c>
      <c r="DZ10" s="5">
        <v>150</v>
      </c>
      <c r="EA10" s="5">
        <v>150</v>
      </c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</row>
    <row r="11" spans="1:164" ht="25.65" customHeight="1" thickBot="1" x14ac:dyDescent="0.35">
      <c r="A11" s="13" t="s">
        <v>58</v>
      </c>
      <c r="B11" s="14" t="s">
        <v>60</v>
      </c>
      <c r="C11" s="15">
        <v>78.400000000000006</v>
      </c>
      <c r="D11" s="16"/>
      <c r="E11" s="15" t="s">
        <v>37</v>
      </c>
      <c r="F11" s="15" t="s">
        <v>37</v>
      </c>
      <c r="G11" s="15" t="s">
        <v>37</v>
      </c>
      <c r="H11" s="15" t="s">
        <v>37</v>
      </c>
      <c r="I11" s="15" t="s">
        <v>37</v>
      </c>
      <c r="J11" s="15" t="s">
        <v>37</v>
      </c>
      <c r="K11" s="15" t="s">
        <v>37</v>
      </c>
      <c r="L11" s="15" t="s">
        <v>37</v>
      </c>
      <c r="M11" s="15" t="s">
        <v>37</v>
      </c>
      <c r="N11" s="15" t="s">
        <v>37</v>
      </c>
      <c r="O11" s="15" t="s">
        <v>37</v>
      </c>
      <c r="P11" s="15" t="s">
        <v>37</v>
      </c>
      <c r="Q11" s="15" t="s">
        <v>37</v>
      </c>
      <c r="R11" s="15" t="s">
        <v>37</v>
      </c>
      <c r="S11" s="15" t="s">
        <v>37</v>
      </c>
      <c r="T11" s="15" t="s">
        <v>37</v>
      </c>
      <c r="U11" s="15" t="s">
        <v>37</v>
      </c>
      <c r="V11" s="15" t="s">
        <v>37</v>
      </c>
      <c r="W11" s="15" t="s">
        <v>37</v>
      </c>
      <c r="X11" s="15" t="s">
        <v>37</v>
      </c>
      <c r="Y11" s="15" t="s">
        <v>37</v>
      </c>
      <c r="Z11" s="15" t="s">
        <v>37</v>
      </c>
      <c r="AA11" s="15" t="s">
        <v>37</v>
      </c>
      <c r="AB11" s="15" t="s">
        <v>37</v>
      </c>
      <c r="AC11" s="15" t="s">
        <v>37</v>
      </c>
      <c r="AD11" s="15" t="s">
        <v>37</v>
      </c>
      <c r="AE11" s="15" t="s">
        <v>37</v>
      </c>
      <c r="AF11" s="15" t="s">
        <v>37</v>
      </c>
      <c r="AG11" s="15" t="s">
        <v>37</v>
      </c>
      <c r="AH11" s="15" t="s">
        <v>37</v>
      </c>
      <c r="AI11" s="15" t="s">
        <v>37</v>
      </c>
      <c r="AJ11" s="15" t="s">
        <v>37</v>
      </c>
      <c r="AK11" s="15" t="s">
        <v>37</v>
      </c>
      <c r="AL11" s="15" t="s">
        <v>37</v>
      </c>
      <c r="AM11" s="15" t="s">
        <v>37</v>
      </c>
      <c r="AN11" s="15" t="s">
        <v>37</v>
      </c>
      <c r="AO11" s="15" t="s">
        <v>37</v>
      </c>
      <c r="AP11" s="15" t="s">
        <v>37</v>
      </c>
      <c r="AQ11" s="15" t="s">
        <v>37</v>
      </c>
      <c r="AR11" s="15" t="s">
        <v>37</v>
      </c>
      <c r="AS11" s="15" t="s">
        <v>37</v>
      </c>
      <c r="AT11" s="15" t="s">
        <v>37</v>
      </c>
      <c r="AU11" s="15" t="s">
        <v>37</v>
      </c>
      <c r="AV11" s="15" t="s">
        <v>37</v>
      </c>
      <c r="AW11" s="15" t="s">
        <v>37</v>
      </c>
      <c r="AX11" s="15" t="s">
        <v>37</v>
      </c>
      <c r="AY11" s="15" t="s">
        <v>37</v>
      </c>
      <c r="AZ11" s="15" t="s">
        <v>37</v>
      </c>
      <c r="BA11" s="15" t="s">
        <v>37</v>
      </c>
      <c r="BB11" s="15" t="s">
        <v>37</v>
      </c>
      <c r="BC11" s="15" t="s">
        <v>37</v>
      </c>
      <c r="BD11" s="15" t="s">
        <v>37</v>
      </c>
      <c r="BE11" s="15" t="s">
        <v>37</v>
      </c>
      <c r="BF11" s="15" t="s">
        <v>37</v>
      </c>
      <c r="BG11" s="15" t="s">
        <v>37</v>
      </c>
      <c r="BH11" s="15" t="s">
        <v>37</v>
      </c>
      <c r="BI11" s="15" t="s">
        <v>37</v>
      </c>
      <c r="BJ11" s="15" t="s">
        <v>37</v>
      </c>
      <c r="BK11" s="15" t="s">
        <v>37</v>
      </c>
      <c r="BL11" s="15">
        <v>40</v>
      </c>
      <c r="BM11" s="15">
        <v>40</v>
      </c>
      <c r="BN11" s="15">
        <v>40</v>
      </c>
      <c r="BO11" s="15">
        <v>40</v>
      </c>
      <c r="BP11" s="15" t="s">
        <v>37</v>
      </c>
      <c r="BQ11" s="15" t="s">
        <v>37</v>
      </c>
      <c r="BR11" s="15" t="s">
        <v>37</v>
      </c>
      <c r="BS11" s="15" t="s">
        <v>37</v>
      </c>
      <c r="BT11" s="15" t="s">
        <v>37</v>
      </c>
      <c r="BU11" s="15" t="s">
        <v>37</v>
      </c>
      <c r="BV11" s="15" t="s">
        <v>37</v>
      </c>
      <c r="BW11" s="15" t="s">
        <v>37</v>
      </c>
      <c r="BX11" s="15" t="s">
        <v>37</v>
      </c>
      <c r="BY11" s="15" t="s">
        <v>37</v>
      </c>
      <c r="BZ11" s="15">
        <v>78.400000000000006</v>
      </c>
      <c r="CA11" s="15">
        <v>78.400000000000006</v>
      </c>
      <c r="CB11" s="15">
        <v>78.400000000000006</v>
      </c>
      <c r="CC11" s="15">
        <v>78.400000000000006</v>
      </c>
      <c r="CD11" s="15">
        <v>78.400000000000006</v>
      </c>
      <c r="CE11" s="15">
        <v>78.400000000000006</v>
      </c>
      <c r="CF11" s="15">
        <v>78.400000000000006</v>
      </c>
      <c r="CG11" s="15">
        <v>78.400000000000006</v>
      </c>
      <c r="CH11" s="15">
        <v>78.400000000000006</v>
      </c>
      <c r="CI11" s="15">
        <v>78.400000000000006</v>
      </c>
      <c r="CJ11" s="15">
        <v>78.400000000000006</v>
      </c>
      <c r="CK11" s="15">
        <v>78.400000000000006</v>
      </c>
      <c r="CL11" s="15">
        <v>78.400000000000006</v>
      </c>
      <c r="CM11" s="15">
        <v>78.400000000000006</v>
      </c>
      <c r="CN11" s="15">
        <v>78.400000000000006</v>
      </c>
      <c r="CO11" s="15">
        <v>78.400000000000006</v>
      </c>
      <c r="CP11" s="15">
        <v>78.400000000000006</v>
      </c>
      <c r="CQ11" s="15">
        <v>78.400000000000006</v>
      </c>
      <c r="CR11" s="15">
        <v>78.400000000000006</v>
      </c>
      <c r="CS11" s="15">
        <v>78.400000000000006</v>
      </c>
      <c r="CT11" s="15">
        <v>78.400000000000006</v>
      </c>
      <c r="CU11" s="15">
        <v>78.400000000000006</v>
      </c>
      <c r="CV11" s="15">
        <v>78.400000000000006</v>
      </c>
      <c r="CW11" s="15">
        <v>78.400000000000006</v>
      </c>
      <c r="CX11" s="15">
        <v>78.400000000000006</v>
      </c>
      <c r="CY11" s="15">
        <v>78.400000000000006</v>
      </c>
      <c r="CZ11" s="15">
        <v>78.400000000000006</v>
      </c>
      <c r="DA11" s="15">
        <v>78.400000000000006</v>
      </c>
      <c r="DB11" s="15">
        <v>78.400000000000006</v>
      </c>
      <c r="DC11" s="15">
        <v>78.400000000000006</v>
      </c>
      <c r="DD11" s="15">
        <v>78.400000000000006</v>
      </c>
      <c r="DE11" s="15">
        <v>78.400000000000006</v>
      </c>
      <c r="DF11" s="15">
        <v>78.400000000000006</v>
      </c>
      <c r="DG11" s="15">
        <v>78.400000000000006</v>
      </c>
      <c r="DH11" s="15">
        <v>78.400000000000006</v>
      </c>
      <c r="DI11" s="15">
        <v>78.400000000000006</v>
      </c>
      <c r="DJ11" s="15">
        <v>78.400000000000006</v>
      </c>
      <c r="DK11" s="15">
        <v>78.400000000000006</v>
      </c>
      <c r="DL11" s="15">
        <v>78.400000000000006</v>
      </c>
      <c r="DM11" s="15">
        <v>78.400000000000006</v>
      </c>
      <c r="DN11" s="15">
        <v>78.400000000000006</v>
      </c>
      <c r="DO11" s="15">
        <v>78.400000000000006</v>
      </c>
      <c r="DP11" s="15">
        <v>78.400000000000006</v>
      </c>
      <c r="DQ11" s="15">
        <v>78.400000000000006</v>
      </c>
      <c r="DR11" s="15">
        <v>78.400000000000006</v>
      </c>
      <c r="DS11" s="15">
        <v>78.400000000000006</v>
      </c>
      <c r="DT11" s="15">
        <v>78.400000000000006</v>
      </c>
      <c r="DU11" s="15">
        <v>78.400000000000006</v>
      </c>
      <c r="DV11" s="15">
        <v>78.400000000000006</v>
      </c>
      <c r="DW11" s="15">
        <v>78.400000000000006</v>
      </c>
      <c r="DX11" s="15">
        <v>78.400000000000006</v>
      </c>
      <c r="DY11" s="15">
        <v>78.400000000000006</v>
      </c>
      <c r="DZ11" s="15">
        <v>78.400000000000006</v>
      </c>
      <c r="EA11" s="15">
        <v>78.400000000000006</v>
      </c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</row>
    <row r="12" spans="1:164" ht="60" x14ac:dyDescent="0.3">
      <c r="A12" s="13" t="s">
        <v>51</v>
      </c>
      <c r="B12" s="14" t="s">
        <v>3</v>
      </c>
      <c r="C12" s="15" t="s">
        <v>29</v>
      </c>
      <c r="D12" s="16" t="s">
        <v>30</v>
      </c>
      <c r="E12" s="15" t="s">
        <v>40</v>
      </c>
      <c r="F12" s="15" t="s">
        <v>40</v>
      </c>
      <c r="G12" s="15" t="s">
        <v>71</v>
      </c>
      <c r="H12" s="15" t="s">
        <v>71</v>
      </c>
      <c r="I12" s="15" t="s">
        <v>71</v>
      </c>
      <c r="J12" s="15" t="s">
        <v>72</v>
      </c>
      <c r="K12" s="15" t="s">
        <v>73</v>
      </c>
      <c r="L12" s="15" t="s">
        <v>74</v>
      </c>
      <c r="M12" s="15" t="s">
        <v>74</v>
      </c>
      <c r="N12" s="15" t="s">
        <v>71</v>
      </c>
      <c r="O12" s="15" t="s">
        <v>71</v>
      </c>
      <c r="P12" s="15" t="s">
        <v>71</v>
      </c>
      <c r="Q12" s="15" t="s">
        <v>71</v>
      </c>
      <c r="R12" s="15" t="s">
        <v>72</v>
      </c>
      <c r="S12" s="15" t="s">
        <v>72</v>
      </c>
      <c r="T12" s="15" t="s">
        <v>72</v>
      </c>
      <c r="U12" s="15" t="s">
        <v>507</v>
      </c>
      <c r="V12" s="15" t="s">
        <v>507</v>
      </c>
      <c r="W12" s="15" t="s">
        <v>508</v>
      </c>
      <c r="X12" s="15" t="s">
        <v>508</v>
      </c>
      <c r="Y12" s="15" t="s">
        <v>508</v>
      </c>
      <c r="Z12" s="15" t="s">
        <v>509</v>
      </c>
      <c r="AA12" s="15" t="s">
        <v>509</v>
      </c>
      <c r="AB12" s="15" t="s">
        <v>510</v>
      </c>
      <c r="AC12" s="15" t="s">
        <v>510</v>
      </c>
      <c r="AD12" s="15" t="s">
        <v>40</v>
      </c>
      <c r="AE12" s="15" t="s">
        <v>40</v>
      </c>
      <c r="AF12" s="15" t="s">
        <v>71</v>
      </c>
      <c r="AG12" s="15" t="s">
        <v>71</v>
      </c>
      <c r="AH12" s="15" t="s">
        <v>71</v>
      </c>
      <c r="AI12" s="15" t="s">
        <v>71</v>
      </c>
      <c r="AJ12" s="15" t="s">
        <v>71</v>
      </c>
      <c r="AK12" s="15" t="s">
        <v>507</v>
      </c>
      <c r="AL12" s="15" t="s">
        <v>507</v>
      </c>
      <c r="AM12" s="15" t="s">
        <v>519</v>
      </c>
      <c r="AN12" s="15" t="s">
        <v>519</v>
      </c>
      <c r="AO12" s="15" t="s">
        <v>519</v>
      </c>
      <c r="AP12" s="15" t="s">
        <v>509</v>
      </c>
      <c r="AQ12" s="15" t="s">
        <v>509</v>
      </c>
      <c r="AR12" s="15" t="s">
        <v>40</v>
      </c>
      <c r="AS12" s="15" t="s">
        <v>40</v>
      </c>
      <c r="AT12" s="15" t="s">
        <v>40</v>
      </c>
      <c r="AU12" s="15" t="s">
        <v>71</v>
      </c>
      <c r="AV12" s="15" t="s">
        <v>71</v>
      </c>
      <c r="AW12" s="15" t="s">
        <v>71</v>
      </c>
      <c r="AX12" s="15" t="s">
        <v>71</v>
      </c>
      <c r="AY12" s="15" t="s">
        <v>507</v>
      </c>
      <c r="AZ12" s="15" t="s">
        <v>507</v>
      </c>
      <c r="BA12" s="15" t="s">
        <v>507</v>
      </c>
      <c r="BB12" s="15" t="s">
        <v>508</v>
      </c>
      <c r="BC12" s="15" t="s">
        <v>508</v>
      </c>
      <c r="BD12" s="15" t="s">
        <v>508</v>
      </c>
      <c r="BE12" s="15" t="s">
        <v>508</v>
      </c>
      <c r="BF12" s="15" t="s">
        <v>72</v>
      </c>
      <c r="BG12" s="15" t="s">
        <v>72</v>
      </c>
      <c r="BH12" s="15" t="s">
        <v>72</v>
      </c>
      <c r="BI12" s="15" t="s">
        <v>74</v>
      </c>
      <c r="BJ12" s="15" t="s">
        <v>40</v>
      </c>
      <c r="BK12" s="15" t="s">
        <v>560</v>
      </c>
      <c r="BL12" s="15" t="s">
        <v>125</v>
      </c>
      <c r="BM12" s="15" t="s">
        <v>125</v>
      </c>
      <c r="BN12" s="15" t="s">
        <v>125</v>
      </c>
      <c r="BO12" s="15" t="s">
        <v>125</v>
      </c>
      <c r="BP12" s="15" t="s">
        <v>143</v>
      </c>
      <c r="BQ12" s="15" t="s">
        <v>143</v>
      </c>
      <c r="BR12" s="15" t="s">
        <v>144</v>
      </c>
      <c r="BS12" s="15" t="s">
        <v>144</v>
      </c>
      <c r="BT12" s="15" t="s">
        <v>144</v>
      </c>
      <c r="BU12" s="15" t="s">
        <v>144</v>
      </c>
      <c r="BV12" s="15" t="s">
        <v>144</v>
      </c>
      <c r="BW12" s="15" t="s">
        <v>74</v>
      </c>
      <c r="BX12" s="15" t="s">
        <v>74</v>
      </c>
      <c r="BY12" s="15" t="s">
        <v>74</v>
      </c>
      <c r="BZ12" s="15" t="s">
        <v>177</v>
      </c>
      <c r="CA12" s="15" t="s">
        <v>177</v>
      </c>
      <c r="CB12" s="15" t="s">
        <v>177</v>
      </c>
      <c r="CC12" s="15" t="s">
        <v>178</v>
      </c>
      <c r="CD12" s="15" t="s">
        <v>178</v>
      </c>
      <c r="CE12" s="15" t="s">
        <v>178</v>
      </c>
      <c r="CF12" s="15" t="s">
        <v>178</v>
      </c>
      <c r="CG12" s="15" t="s">
        <v>179</v>
      </c>
      <c r="CH12" s="15" t="s">
        <v>179</v>
      </c>
      <c r="CI12" s="15" t="s">
        <v>180</v>
      </c>
      <c r="CJ12" s="15" t="s">
        <v>180</v>
      </c>
      <c r="CK12" s="15" t="s">
        <v>181</v>
      </c>
      <c r="CL12" s="15" t="s">
        <v>182</v>
      </c>
      <c r="CM12" s="15" t="s">
        <v>183</v>
      </c>
      <c r="CN12" s="15" t="s">
        <v>184</v>
      </c>
      <c r="CO12" s="15" t="s">
        <v>185</v>
      </c>
      <c r="CP12" s="15" t="s">
        <v>186</v>
      </c>
      <c r="CQ12" s="15" t="s">
        <v>187</v>
      </c>
      <c r="CR12" s="15" t="s">
        <v>188</v>
      </c>
      <c r="CS12" s="15" t="s">
        <v>189</v>
      </c>
      <c r="CT12" s="15" t="s">
        <v>189</v>
      </c>
      <c r="CU12" s="15" t="s">
        <v>189</v>
      </c>
      <c r="CV12" s="15" t="s">
        <v>189</v>
      </c>
      <c r="CW12" s="15" t="s">
        <v>189</v>
      </c>
      <c r="CX12" s="15" t="s">
        <v>189</v>
      </c>
      <c r="CY12" s="15" t="s">
        <v>189</v>
      </c>
      <c r="CZ12" s="15" t="s">
        <v>189</v>
      </c>
      <c r="DA12" s="15" t="s">
        <v>177</v>
      </c>
      <c r="DB12" s="15" t="s">
        <v>177</v>
      </c>
      <c r="DC12" s="15" t="s">
        <v>177</v>
      </c>
      <c r="DD12" s="15" t="s">
        <v>178</v>
      </c>
      <c r="DE12" s="15" t="s">
        <v>178</v>
      </c>
      <c r="DF12" s="15" t="s">
        <v>178</v>
      </c>
      <c r="DG12" s="15" t="s">
        <v>178</v>
      </c>
      <c r="DH12" s="15" t="s">
        <v>179</v>
      </c>
      <c r="DI12" s="15" t="s">
        <v>179</v>
      </c>
      <c r="DJ12" s="15" t="s">
        <v>180</v>
      </c>
      <c r="DK12" s="15" t="s">
        <v>180</v>
      </c>
      <c r="DL12" s="15" t="s">
        <v>181</v>
      </c>
      <c r="DM12" s="15" t="s">
        <v>182</v>
      </c>
      <c r="DN12" s="15" t="s">
        <v>183</v>
      </c>
      <c r="DO12" s="15" t="s">
        <v>184</v>
      </c>
      <c r="DP12" s="15" t="s">
        <v>185</v>
      </c>
      <c r="DQ12" s="15" t="s">
        <v>186</v>
      </c>
      <c r="DR12" s="15" t="s">
        <v>187</v>
      </c>
      <c r="DS12" s="15" t="s">
        <v>188</v>
      </c>
      <c r="DT12" s="15" t="s">
        <v>189</v>
      </c>
      <c r="DU12" s="15" t="s">
        <v>189</v>
      </c>
      <c r="DV12" s="15" t="s">
        <v>189</v>
      </c>
      <c r="DW12" s="15" t="s">
        <v>189</v>
      </c>
      <c r="DX12" s="15" t="s">
        <v>189</v>
      </c>
      <c r="DY12" s="15" t="s">
        <v>189</v>
      </c>
      <c r="DZ12" s="15" t="s">
        <v>189</v>
      </c>
      <c r="EA12" s="15" t="s">
        <v>189</v>
      </c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</row>
    <row r="13" spans="1:164" ht="25.35" customHeight="1" x14ac:dyDescent="0.3">
      <c r="A13" s="17" t="s">
        <v>54</v>
      </c>
      <c r="B13" s="25" t="s">
        <v>55</v>
      </c>
      <c r="C13" s="12" t="s">
        <v>57</v>
      </c>
      <c r="D13" s="19"/>
      <c r="E13" s="12" t="s">
        <v>56</v>
      </c>
      <c r="F13" s="12" t="s">
        <v>56</v>
      </c>
      <c r="G13" s="12" t="s">
        <v>56</v>
      </c>
      <c r="H13" s="12" t="s">
        <v>56</v>
      </c>
      <c r="I13" s="12" t="s">
        <v>56</v>
      </c>
      <c r="J13" s="12" t="s">
        <v>56</v>
      </c>
      <c r="K13" s="12" t="s">
        <v>56</v>
      </c>
      <c r="L13" s="12" t="s">
        <v>56</v>
      </c>
      <c r="M13" s="12" t="s">
        <v>56</v>
      </c>
      <c r="N13" s="12" t="s">
        <v>56</v>
      </c>
      <c r="O13" s="12" t="s">
        <v>56</v>
      </c>
      <c r="P13" s="12" t="s">
        <v>56</v>
      </c>
      <c r="Q13" s="12" t="s">
        <v>56</v>
      </c>
      <c r="R13" s="12" t="s">
        <v>56</v>
      </c>
      <c r="S13" s="12" t="s">
        <v>56</v>
      </c>
      <c r="T13" s="12" t="s">
        <v>56</v>
      </c>
      <c r="U13" s="12" t="s">
        <v>56</v>
      </c>
      <c r="V13" s="12" t="s">
        <v>56</v>
      </c>
      <c r="W13" s="12" t="s">
        <v>56</v>
      </c>
      <c r="X13" s="12" t="s">
        <v>56</v>
      </c>
      <c r="Y13" s="12" t="s">
        <v>56</v>
      </c>
      <c r="Z13" s="12" t="s">
        <v>56</v>
      </c>
      <c r="AA13" s="12" t="s">
        <v>56</v>
      </c>
      <c r="AB13" s="12" t="s">
        <v>56</v>
      </c>
      <c r="AC13" s="12" t="s">
        <v>56</v>
      </c>
      <c r="AD13" s="12" t="s">
        <v>56</v>
      </c>
      <c r="AE13" s="12" t="s">
        <v>56</v>
      </c>
      <c r="AF13" s="12" t="s">
        <v>56</v>
      </c>
      <c r="AG13" s="12" t="s">
        <v>56</v>
      </c>
      <c r="AH13" s="12" t="s">
        <v>56</v>
      </c>
      <c r="AI13" s="12" t="s">
        <v>56</v>
      </c>
      <c r="AJ13" s="12" t="s">
        <v>56</v>
      </c>
      <c r="AK13" s="12" t="s">
        <v>56</v>
      </c>
      <c r="AL13" s="12" t="s">
        <v>56</v>
      </c>
      <c r="AM13" s="12" t="s">
        <v>56</v>
      </c>
      <c r="AN13" s="12" t="s">
        <v>56</v>
      </c>
      <c r="AO13" s="12" t="s">
        <v>56</v>
      </c>
      <c r="AP13" s="12" t="s">
        <v>56</v>
      </c>
      <c r="AQ13" s="12" t="s">
        <v>56</v>
      </c>
      <c r="AR13" s="12" t="s">
        <v>56</v>
      </c>
      <c r="AS13" s="12" t="s">
        <v>56</v>
      </c>
      <c r="AT13" s="12" t="s">
        <v>56</v>
      </c>
      <c r="AU13" s="12" t="s">
        <v>56</v>
      </c>
      <c r="AV13" s="12" t="s">
        <v>56</v>
      </c>
      <c r="AW13" s="12" t="s">
        <v>56</v>
      </c>
      <c r="AX13" s="12" t="s">
        <v>56</v>
      </c>
      <c r="AY13" s="12" t="s">
        <v>56</v>
      </c>
      <c r="AZ13" s="12" t="s">
        <v>56</v>
      </c>
      <c r="BA13" s="12" t="s">
        <v>56</v>
      </c>
      <c r="BB13" s="12" t="s">
        <v>56</v>
      </c>
      <c r="BC13" s="12" t="s">
        <v>56</v>
      </c>
      <c r="BD13" s="12" t="s">
        <v>56</v>
      </c>
      <c r="BE13" s="12" t="s">
        <v>56</v>
      </c>
      <c r="BF13" s="12" t="s">
        <v>56</v>
      </c>
      <c r="BG13" s="12" t="s">
        <v>56</v>
      </c>
      <c r="BH13" s="12" t="s">
        <v>56</v>
      </c>
      <c r="BI13" s="12" t="s">
        <v>56</v>
      </c>
      <c r="BJ13" s="12" t="s">
        <v>56</v>
      </c>
      <c r="BK13" s="12" t="s">
        <v>56</v>
      </c>
      <c r="BL13" s="12" t="s">
        <v>56</v>
      </c>
      <c r="BM13" s="12" t="s">
        <v>56</v>
      </c>
      <c r="BN13" s="12" t="s">
        <v>56</v>
      </c>
      <c r="BO13" s="12" t="s">
        <v>56</v>
      </c>
      <c r="BP13" s="12" t="s">
        <v>145</v>
      </c>
      <c r="BQ13" s="12" t="s">
        <v>145</v>
      </c>
      <c r="BR13" s="12" t="s">
        <v>145</v>
      </c>
      <c r="BS13" s="12" t="s">
        <v>145</v>
      </c>
      <c r="BT13" s="12" t="s">
        <v>145</v>
      </c>
      <c r="BU13" s="12" t="s">
        <v>145</v>
      </c>
      <c r="BV13" s="12" t="s">
        <v>145</v>
      </c>
      <c r="BW13" s="12" t="s">
        <v>56</v>
      </c>
      <c r="BX13" s="12" t="s">
        <v>56</v>
      </c>
      <c r="BY13" s="12" t="s">
        <v>56</v>
      </c>
      <c r="BZ13" s="12" t="s">
        <v>529</v>
      </c>
      <c r="CA13" s="12" t="s">
        <v>529</v>
      </c>
      <c r="CB13" s="12" t="s">
        <v>529</v>
      </c>
      <c r="CC13" s="12" t="s">
        <v>529</v>
      </c>
      <c r="CD13" s="12" t="s">
        <v>529</v>
      </c>
      <c r="CE13" s="12" t="s">
        <v>529</v>
      </c>
      <c r="CF13" s="12" t="s">
        <v>529</v>
      </c>
      <c r="CG13" s="12" t="s">
        <v>529</v>
      </c>
      <c r="CH13" s="12" t="s">
        <v>529</v>
      </c>
      <c r="CI13" s="12" t="s">
        <v>529</v>
      </c>
      <c r="CJ13" s="12" t="s">
        <v>529</v>
      </c>
      <c r="CK13" s="12" t="s">
        <v>529</v>
      </c>
      <c r="CL13" s="12" t="s">
        <v>529</v>
      </c>
      <c r="CM13" s="12" t="s">
        <v>529</v>
      </c>
      <c r="CN13" s="12" t="s">
        <v>529</v>
      </c>
      <c r="CO13" s="12" t="s">
        <v>529</v>
      </c>
      <c r="CP13" s="12" t="s">
        <v>529</v>
      </c>
      <c r="CQ13" s="12" t="s">
        <v>529</v>
      </c>
      <c r="CR13" s="12" t="s">
        <v>529</v>
      </c>
      <c r="CS13" s="12" t="s">
        <v>529</v>
      </c>
      <c r="CT13" s="12" t="s">
        <v>529</v>
      </c>
      <c r="CU13" s="12" t="s">
        <v>529</v>
      </c>
      <c r="CV13" s="12" t="s">
        <v>529</v>
      </c>
      <c r="CW13" s="12" t="s">
        <v>529</v>
      </c>
      <c r="CX13" s="12" t="s">
        <v>529</v>
      </c>
      <c r="CY13" s="12" t="s">
        <v>529</v>
      </c>
      <c r="CZ13" s="12" t="s">
        <v>529</v>
      </c>
      <c r="DA13" s="12" t="s">
        <v>530</v>
      </c>
      <c r="DB13" s="12" t="s">
        <v>530</v>
      </c>
      <c r="DC13" s="12" t="s">
        <v>530</v>
      </c>
      <c r="DD13" s="12" t="s">
        <v>530</v>
      </c>
      <c r="DE13" s="12" t="s">
        <v>530</v>
      </c>
      <c r="DF13" s="12" t="s">
        <v>530</v>
      </c>
      <c r="DG13" s="12" t="s">
        <v>530</v>
      </c>
      <c r="DH13" s="12" t="s">
        <v>530</v>
      </c>
      <c r="DI13" s="12" t="s">
        <v>530</v>
      </c>
      <c r="DJ13" s="12" t="s">
        <v>530</v>
      </c>
      <c r="DK13" s="12" t="s">
        <v>530</v>
      </c>
      <c r="DL13" s="12" t="s">
        <v>530</v>
      </c>
      <c r="DM13" s="12" t="s">
        <v>530</v>
      </c>
      <c r="DN13" s="12" t="s">
        <v>530</v>
      </c>
      <c r="DO13" s="12" t="s">
        <v>530</v>
      </c>
      <c r="DP13" s="12" t="s">
        <v>530</v>
      </c>
      <c r="DQ13" s="12" t="s">
        <v>530</v>
      </c>
      <c r="DR13" s="12" t="s">
        <v>530</v>
      </c>
      <c r="DS13" s="12" t="s">
        <v>530</v>
      </c>
      <c r="DT13" s="12" t="s">
        <v>530</v>
      </c>
      <c r="DU13" s="12" t="s">
        <v>530</v>
      </c>
      <c r="DV13" s="12" t="s">
        <v>530</v>
      </c>
      <c r="DW13" s="12" t="s">
        <v>530</v>
      </c>
      <c r="DX13" s="12" t="s">
        <v>530</v>
      </c>
      <c r="DY13" s="12" t="s">
        <v>530</v>
      </c>
      <c r="DZ13" s="12" t="s">
        <v>530</v>
      </c>
      <c r="EA13" s="12" t="s">
        <v>530</v>
      </c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</row>
    <row r="14" spans="1:164" ht="25.35" customHeight="1" thickBot="1" x14ac:dyDescent="0.35">
      <c r="A14" s="17" t="s">
        <v>533</v>
      </c>
      <c r="B14" s="25" t="s">
        <v>55</v>
      </c>
      <c r="C14" s="21"/>
      <c r="D14" s="27"/>
      <c r="E14" s="28" t="s">
        <v>37</v>
      </c>
      <c r="F14" s="28" t="s">
        <v>37</v>
      </c>
      <c r="G14" s="28" t="s">
        <v>37</v>
      </c>
      <c r="H14" s="28" t="s">
        <v>37</v>
      </c>
      <c r="I14" s="28" t="s">
        <v>37</v>
      </c>
      <c r="J14" s="28" t="s">
        <v>37</v>
      </c>
      <c r="K14" s="28" t="s">
        <v>37</v>
      </c>
      <c r="L14" s="28" t="s">
        <v>37</v>
      </c>
      <c r="M14" s="28" t="s">
        <v>37</v>
      </c>
      <c r="N14" s="28" t="s">
        <v>37</v>
      </c>
      <c r="O14" s="28" t="s">
        <v>37</v>
      </c>
      <c r="P14" s="28" t="s">
        <v>37</v>
      </c>
      <c r="Q14" s="28" t="s">
        <v>37</v>
      </c>
      <c r="R14" s="28" t="s">
        <v>37</v>
      </c>
      <c r="S14" s="28" t="s">
        <v>37</v>
      </c>
      <c r="T14" s="28" t="s">
        <v>37</v>
      </c>
      <c r="U14" s="28" t="s">
        <v>37</v>
      </c>
      <c r="V14" s="28" t="s">
        <v>37</v>
      </c>
      <c r="W14" s="28" t="s">
        <v>37</v>
      </c>
      <c r="X14" s="28" t="s">
        <v>37</v>
      </c>
      <c r="Y14" s="28" t="s">
        <v>37</v>
      </c>
      <c r="Z14" s="28" t="s">
        <v>37</v>
      </c>
      <c r="AA14" s="28" t="s">
        <v>37</v>
      </c>
      <c r="AB14" s="28" t="s">
        <v>37</v>
      </c>
      <c r="AC14" s="28" t="s">
        <v>37</v>
      </c>
      <c r="AD14" s="28" t="s">
        <v>37</v>
      </c>
      <c r="AE14" s="28" t="s">
        <v>37</v>
      </c>
      <c r="AF14" s="28" t="s">
        <v>37</v>
      </c>
      <c r="AG14" s="28" t="s">
        <v>37</v>
      </c>
      <c r="AH14" s="28" t="s">
        <v>37</v>
      </c>
      <c r="AI14" s="28" t="s">
        <v>37</v>
      </c>
      <c r="AJ14" s="28" t="s">
        <v>37</v>
      </c>
      <c r="AK14" s="28" t="s">
        <v>37</v>
      </c>
      <c r="AL14" s="28" t="s">
        <v>37</v>
      </c>
      <c r="AM14" s="28" t="s">
        <v>37</v>
      </c>
      <c r="AN14" s="28" t="s">
        <v>37</v>
      </c>
      <c r="AO14" s="28" t="s">
        <v>37</v>
      </c>
      <c r="AP14" s="28" t="s">
        <v>37</v>
      </c>
      <c r="AQ14" s="28" t="s">
        <v>37</v>
      </c>
      <c r="AR14" s="28" t="s">
        <v>37</v>
      </c>
      <c r="AS14" s="28" t="s">
        <v>37</v>
      </c>
      <c r="AT14" s="28" t="s">
        <v>37</v>
      </c>
      <c r="AU14" s="28" t="s">
        <v>37</v>
      </c>
      <c r="AV14" s="28" t="s">
        <v>37</v>
      </c>
      <c r="AW14" s="28" t="s">
        <v>37</v>
      </c>
      <c r="AX14" s="28" t="s">
        <v>37</v>
      </c>
      <c r="AY14" s="28" t="s">
        <v>37</v>
      </c>
      <c r="AZ14" s="28" t="s">
        <v>37</v>
      </c>
      <c r="BA14" s="28" t="s">
        <v>37</v>
      </c>
      <c r="BB14" s="28" t="s">
        <v>37</v>
      </c>
      <c r="BC14" s="28" t="s">
        <v>37</v>
      </c>
      <c r="BD14" s="28" t="s">
        <v>37</v>
      </c>
      <c r="BE14" s="28" t="s">
        <v>37</v>
      </c>
      <c r="BF14" s="28" t="s">
        <v>37</v>
      </c>
      <c r="BG14" s="28" t="s">
        <v>37</v>
      </c>
      <c r="BH14" s="28" t="s">
        <v>37</v>
      </c>
      <c r="BI14" s="28" t="s">
        <v>37</v>
      </c>
      <c r="BJ14" s="28" t="s">
        <v>37</v>
      </c>
      <c r="BK14" s="28" t="s">
        <v>37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</row>
    <row r="15" spans="1:164" s="56" customFormat="1" ht="24.6" thickBot="1" x14ac:dyDescent="0.35">
      <c r="A15" s="52" t="s">
        <v>552</v>
      </c>
      <c r="B15" s="52" t="s">
        <v>60</v>
      </c>
      <c r="C15" s="53">
        <v>28000</v>
      </c>
      <c r="D15" s="54" t="s">
        <v>554</v>
      </c>
      <c r="E15" s="55">
        <v>20600</v>
      </c>
      <c r="F15" s="56">
        <v>23800</v>
      </c>
      <c r="G15" s="56">
        <v>25100</v>
      </c>
      <c r="H15" s="56">
        <v>30000</v>
      </c>
      <c r="I15" s="56">
        <v>34260</v>
      </c>
      <c r="J15" s="56">
        <v>39960</v>
      </c>
      <c r="K15" s="56">
        <v>44460</v>
      </c>
      <c r="L15" s="56">
        <v>51660</v>
      </c>
      <c r="M15" s="56">
        <v>56660</v>
      </c>
      <c r="N15" s="56">
        <v>26500</v>
      </c>
      <c r="O15" s="56">
        <v>29700</v>
      </c>
      <c r="P15" s="56">
        <v>32700</v>
      </c>
      <c r="Q15" s="56">
        <v>35400</v>
      </c>
      <c r="R15" s="56">
        <v>39460</v>
      </c>
      <c r="S15" s="56">
        <v>44960</v>
      </c>
      <c r="T15" s="56">
        <v>47660</v>
      </c>
      <c r="U15" s="56">
        <f>37780/2</f>
        <v>18890</v>
      </c>
      <c r="V15" s="56">
        <f>42780/2</f>
        <v>21390</v>
      </c>
      <c r="W15" s="56">
        <f>48780/2</f>
        <v>24390</v>
      </c>
      <c r="X15" s="56">
        <f>53780/2</f>
        <v>26890</v>
      </c>
      <c r="Y15" s="56">
        <f>60180/2</f>
        <v>30090</v>
      </c>
      <c r="Z15" s="56">
        <f>69180/2</f>
        <v>34590</v>
      </c>
      <c r="AA15" s="56">
        <f>74180/2</f>
        <v>37090</v>
      </c>
      <c r="AB15" s="56">
        <f>87180/2</f>
        <v>43590</v>
      </c>
      <c r="AC15" s="56">
        <f>96180/2</f>
        <v>48090</v>
      </c>
      <c r="AD15" s="56">
        <v>19700</v>
      </c>
      <c r="AE15" s="56">
        <v>22600</v>
      </c>
      <c r="AF15" s="56">
        <v>24300</v>
      </c>
      <c r="AG15" s="56">
        <v>27800</v>
      </c>
      <c r="AH15" s="56">
        <v>33360</v>
      </c>
      <c r="AI15" s="56">
        <v>37960</v>
      </c>
      <c r="AJ15" s="56">
        <v>41960</v>
      </c>
      <c r="AK15" s="57">
        <f>35780/2</f>
        <v>17890</v>
      </c>
      <c r="AL15" s="57">
        <f>39780/2</f>
        <v>19890</v>
      </c>
      <c r="AM15" s="57">
        <f>46780/2</f>
        <v>23390</v>
      </c>
      <c r="AN15" s="57">
        <f>49780/2</f>
        <v>24890</v>
      </c>
      <c r="AO15" s="57">
        <f>58180/2</f>
        <v>29090</v>
      </c>
      <c r="AP15" s="57">
        <f>66180/2</f>
        <v>33090</v>
      </c>
      <c r="AQ15" s="57">
        <f>71180/2</f>
        <v>35590</v>
      </c>
      <c r="AR15" s="56">
        <v>17800</v>
      </c>
      <c r="AS15" s="56">
        <v>19700</v>
      </c>
      <c r="AT15" s="56">
        <v>21400</v>
      </c>
      <c r="AU15" s="56">
        <v>25500</v>
      </c>
      <c r="AV15" s="56">
        <v>32660</v>
      </c>
      <c r="AW15" s="56">
        <v>36860</v>
      </c>
      <c r="AX15" s="56">
        <v>40860</v>
      </c>
      <c r="AY15" s="56">
        <f>27780/2</f>
        <v>13890</v>
      </c>
      <c r="AZ15" s="56">
        <f>30780/2</f>
        <v>15390</v>
      </c>
      <c r="BA15" s="56">
        <f>33780/2</f>
        <v>16890</v>
      </c>
      <c r="BB15" s="56">
        <f>40780/2</f>
        <v>20390</v>
      </c>
      <c r="BC15" s="56">
        <f>49180/2</f>
        <v>24590</v>
      </c>
      <c r="BD15" s="56">
        <f>57180/2</f>
        <v>28590</v>
      </c>
      <c r="BE15" s="56">
        <f>64180/2</f>
        <v>32090</v>
      </c>
      <c r="BF15" s="56">
        <v>52780</v>
      </c>
      <c r="BG15" s="56">
        <v>71780</v>
      </c>
      <c r="BH15" s="56">
        <v>87180</v>
      </c>
      <c r="BI15" s="56">
        <v>99180</v>
      </c>
      <c r="BJ15" s="56">
        <v>41780</v>
      </c>
      <c r="BK15" s="56">
        <v>74780</v>
      </c>
      <c r="BL15" s="56">
        <v>115000</v>
      </c>
      <c r="BM15" s="56">
        <v>131000</v>
      </c>
      <c r="BN15" s="56">
        <v>147000</v>
      </c>
      <c r="BO15" s="56">
        <v>188000</v>
      </c>
      <c r="BP15" s="56">
        <v>282000</v>
      </c>
      <c r="BQ15" s="56">
        <v>330000</v>
      </c>
      <c r="BR15" s="56">
        <v>190000</v>
      </c>
      <c r="BS15" s="56">
        <v>219000</v>
      </c>
      <c r="BT15" s="56">
        <v>173000</v>
      </c>
      <c r="BU15" s="56">
        <v>197000</v>
      </c>
      <c r="BV15" s="56">
        <v>224000</v>
      </c>
      <c r="BW15" s="56">
        <v>110500</v>
      </c>
      <c r="BX15" s="56">
        <v>125800</v>
      </c>
      <c r="BY15" s="56">
        <v>141100</v>
      </c>
      <c r="BZ15" s="56">
        <v>235600</v>
      </c>
      <c r="CA15" s="56">
        <v>28900</v>
      </c>
      <c r="CB15" s="56">
        <v>33900</v>
      </c>
      <c r="CC15" s="56">
        <v>390500</v>
      </c>
      <c r="CD15" s="56">
        <v>443500</v>
      </c>
      <c r="CE15" s="56">
        <v>497500</v>
      </c>
      <c r="CF15" s="56">
        <v>547300</v>
      </c>
      <c r="CG15" s="56">
        <v>628000</v>
      </c>
      <c r="CH15" s="56">
        <v>678000</v>
      </c>
      <c r="CI15" s="56">
        <v>729500</v>
      </c>
      <c r="CJ15" s="56">
        <v>782500</v>
      </c>
      <c r="CK15" s="56">
        <v>834000</v>
      </c>
      <c r="CL15" s="56">
        <v>888000</v>
      </c>
      <c r="CM15" s="56">
        <v>941000</v>
      </c>
      <c r="CN15" s="56">
        <v>995000</v>
      </c>
      <c r="CO15" s="56">
        <v>1044800</v>
      </c>
      <c r="CP15" s="56">
        <v>1094600</v>
      </c>
      <c r="CQ15" s="56">
        <v>1175500</v>
      </c>
      <c r="CR15" s="56">
        <v>1225300</v>
      </c>
      <c r="CS15" s="56">
        <v>1278500</v>
      </c>
      <c r="CT15" s="56">
        <v>1331500</v>
      </c>
      <c r="CU15" s="56">
        <v>1385500</v>
      </c>
      <c r="CV15" s="56">
        <v>1438500</v>
      </c>
      <c r="CW15" s="56">
        <v>1492500</v>
      </c>
      <c r="CX15" s="56">
        <v>1542300</v>
      </c>
      <c r="CY15" s="56">
        <v>1592100</v>
      </c>
      <c r="CZ15" s="56">
        <v>1641900</v>
      </c>
      <c r="DA15" s="56">
        <v>282000</v>
      </c>
      <c r="DB15" s="56">
        <v>346000</v>
      </c>
      <c r="DC15" s="56">
        <v>406000</v>
      </c>
      <c r="DD15" s="56">
        <v>469500</v>
      </c>
      <c r="DE15" s="56">
        <v>529500</v>
      </c>
      <c r="DF15" s="56">
        <v>595500</v>
      </c>
      <c r="DG15" s="56">
        <v>655300</v>
      </c>
      <c r="DH15" s="56">
        <v>752000</v>
      </c>
      <c r="DI15" s="56">
        <v>812000</v>
      </c>
      <c r="DJ15" s="56">
        <v>875500</v>
      </c>
      <c r="DK15" s="56">
        <v>935500</v>
      </c>
      <c r="DL15" s="56">
        <v>999000</v>
      </c>
      <c r="DM15" s="56">
        <v>1065000</v>
      </c>
      <c r="DN15" s="56">
        <v>1125000</v>
      </c>
      <c r="DO15" s="56">
        <v>1191000</v>
      </c>
      <c r="DP15" s="56">
        <v>1250800</v>
      </c>
      <c r="DQ15" s="56">
        <v>1310600</v>
      </c>
      <c r="DR15" s="56">
        <v>1407500</v>
      </c>
      <c r="DS15" s="56">
        <v>1467300</v>
      </c>
      <c r="DT15" s="56">
        <v>1534500</v>
      </c>
      <c r="DU15" s="56">
        <v>1594500</v>
      </c>
      <c r="DV15" s="56">
        <v>1660500</v>
      </c>
      <c r="DW15" s="56">
        <v>1720500</v>
      </c>
      <c r="DX15" s="56">
        <v>1786500</v>
      </c>
      <c r="DY15" s="56">
        <v>1846300</v>
      </c>
      <c r="DZ15" s="56">
        <v>1906100</v>
      </c>
      <c r="EA15" s="56">
        <v>1965900</v>
      </c>
    </row>
    <row r="16" spans="1:164" x14ac:dyDescent="0.3">
      <c r="A16" s="24"/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4343-28B8-406D-977B-66BB2AAB408D}">
  <dimension ref="A1:AF19"/>
  <sheetViews>
    <sheetView topLeftCell="A10" workbookViewId="0">
      <selection activeCell="A18" sqref="A18"/>
    </sheetView>
  </sheetViews>
  <sheetFormatPr defaultColWidth="8.88671875" defaultRowHeight="15.6" x14ac:dyDescent="0.3"/>
  <cols>
    <col min="1" max="1" width="27.109375" style="2" customWidth="1"/>
    <col min="2" max="2" width="14.6640625" style="2" customWidth="1"/>
    <col min="3" max="3" width="14.6640625" style="6" hidden="1" customWidth="1"/>
    <col min="4" max="4" width="41.44140625" style="2" hidden="1" customWidth="1"/>
    <col min="5" max="31" width="10.6640625" style="2" customWidth="1"/>
    <col min="32" max="16384" width="8.88671875" style="2"/>
  </cols>
  <sheetData>
    <row r="1" spans="1:32" ht="31.8" thickBot="1" x14ac:dyDescent="0.35">
      <c r="A1" s="1" t="s">
        <v>15</v>
      </c>
      <c r="B1" s="8" t="s">
        <v>0</v>
      </c>
      <c r="C1" s="4" t="s">
        <v>1</v>
      </c>
      <c r="D1" s="1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31.8" thickBot="1" x14ac:dyDescent="0.35">
      <c r="A2" s="1" t="s">
        <v>41</v>
      </c>
      <c r="B2" s="3" t="s">
        <v>3</v>
      </c>
      <c r="C2" s="5" t="s">
        <v>16</v>
      </c>
      <c r="D2" s="10" t="s">
        <v>17</v>
      </c>
      <c r="E2" s="5" t="s">
        <v>219</v>
      </c>
      <c r="F2" s="5" t="s">
        <v>219</v>
      </c>
      <c r="G2" s="5" t="s">
        <v>219</v>
      </c>
      <c r="H2" s="5" t="s">
        <v>219</v>
      </c>
      <c r="I2" s="5" t="s">
        <v>219</v>
      </c>
      <c r="J2" s="5" t="s">
        <v>219</v>
      </c>
      <c r="K2" s="5" t="s">
        <v>219</v>
      </c>
      <c r="L2" s="5" t="s">
        <v>219</v>
      </c>
      <c r="M2" s="5" t="s">
        <v>219</v>
      </c>
      <c r="N2" s="5" t="s">
        <v>219</v>
      </c>
      <c r="O2" s="5" t="s">
        <v>219</v>
      </c>
      <c r="P2" s="5" t="s">
        <v>219</v>
      </c>
      <c r="Q2" s="5" t="s">
        <v>219</v>
      </c>
      <c r="R2" s="5" t="s">
        <v>219</v>
      </c>
      <c r="S2" s="5" t="s">
        <v>219</v>
      </c>
      <c r="T2" s="5" t="s">
        <v>219</v>
      </c>
      <c r="U2" s="5" t="s">
        <v>219</v>
      </c>
      <c r="V2" s="5" t="s">
        <v>219</v>
      </c>
      <c r="W2" s="5" t="s">
        <v>219</v>
      </c>
      <c r="X2" s="5" t="s">
        <v>219</v>
      </c>
      <c r="Y2" s="5" t="s">
        <v>219</v>
      </c>
      <c r="Z2" s="5" t="s">
        <v>219</v>
      </c>
      <c r="AA2" s="5" t="s">
        <v>219</v>
      </c>
      <c r="AB2" s="5" t="s">
        <v>219</v>
      </c>
      <c r="AC2" s="5" t="s">
        <v>219</v>
      </c>
      <c r="AD2" s="5" t="s">
        <v>219</v>
      </c>
      <c r="AE2" s="5" t="s">
        <v>219</v>
      </c>
      <c r="AF2" s="5"/>
    </row>
    <row r="3" spans="1:32" ht="31.8" thickBot="1" x14ac:dyDescent="0.35">
      <c r="A3" s="1" t="s">
        <v>44</v>
      </c>
      <c r="B3" s="3" t="s">
        <v>3</v>
      </c>
      <c r="C3" s="5" t="s">
        <v>18</v>
      </c>
      <c r="D3" s="11" t="s">
        <v>4</v>
      </c>
      <c r="E3" s="5" t="s">
        <v>102</v>
      </c>
      <c r="F3" s="5" t="s">
        <v>102</v>
      </c>
      <c r="G3" s="5" t="s">
        <v>102</v>
      </c>
      <c r="H3" s="5" t="s">
        <v>102</v>
      </c>
      <c r="I3" s="5" t="s">
        <v>102</v>
      </c>
      <c r="J3" s="5" t="s">
        <v>102</v>
      </c>
      <c r="K3" s="5" t="s">
        <v>102</v>
      </c>
      <c r="L3" s="5" t="s">
        <v>102</v>
      </c>
      <c r="M3" s="5" t="s">
        <v>102</v>
      </c>
      <c r="N3" s="5" t="s">
        <v>102</v>
      </c>
      <c r="O3" s="5" t="s">
        <v>102</v>
      </c>
      <c r="P3" s="5" t="s">
        <v>102</v>
      </c>
      <c r="Q3" s="5" t="s">
        <v>102</v>
      </c>
      <c r="R3" s="5" t="s">
        <v>102</v>
      </c>
      <c r="S3" s="5" t="s">
        <v>102</v>
      </c>
      <c r="T3" s="5" t="s">
        <v>110</v>
      </c>
      <c r="U3" s="5" t="s">
        <v>110</v>
      </c>
      <c r="V3" s="5" t="s">
        <v>110</v>
      </c>
      <c r="W3" s="5" t="s">
        <v>110</v>
      </c>
      <c r="X3" s="5" t="s">
        <v>110</v>
      </c>
      <c r="Y3" s="5" t="s">
        <v>110</v>
      </c>
      <c r="Z3" s="5" t="s">
        <v>110</v>
      </c>
      <c r="AA3" s="5" t="s">
        <v>110</v>
      </c>
      <c r="AB3" s="5" t="s">
        <v>110</v>
      </c>
      <c r="AC3" s="5" t="s">
        <v>110</v>
      </c>
      <c r="AD3" s="5" t="s">
        <v>110</v>
      </c>
      <c r="AE3" s="5" t="s">
        <v>110</v>
      </c>
      <c r="AF3" s="5"/>
    </row>
    <row r="4" spans="1:32" ht="24.6" thickBot="1" x14ac:dyDescent="0.35">
      <c r="A4" s="1" t="s">
        <v>53</v>
      </c>
      <c r="B4" s="3" t="s">
        <v>3</v>
      </c>
      <c r="C4" s="5" t="s">
        <v>5</v>
      </c>
      <c r="D4" s="10" t="s">
        <v>19</v>
      </c>
      <c r="E4" s="5" t="s">
        <v>294</v>
      </c>
      <c r="F4" s="5" t="s">
        <v>295</v>
      </c>
      <c r="G4" s="5" t="s">
        <v>296</v>
      </c>
      <c r="H4" s="5" t="s">
        <v>297</v>
      </c>
      <c r="I4" s="5" t="s">
        <v>298</v>
      </c>
      <c r="J4" s="5" t="s">
        <v>299</v>
      </c>
      <c r="K4" s="5" t="s">
        <v>528</v>
      </c>
      <c r="L4" s="5" t="s">
        <v>301</v>
      </c>
      <c r="M4" s="5" t="s">
        <v>300</v>
      </c>
      <c r="N4" s="5" t="s">
        <v>302</v>
      </c>
      <c r="O4" s="5" t="s">
        <v>303</v>
      </c>
      <c r="P4" s="5" t="s">
        <v>304</v>
      </c>
      <c r="Q4" s="5" t="s">
        <v>305</v>
      </c>
      <c r="R4" s="5" t="s">
        <v>305</v>
      </c>
      <c r="S4" s="5" t="s">
        <v>305</v>
      </c>
      <c r="T4" s="5" t="s">
        <v>296</v>
      </c>
      <c r="U4" s="5" t="s">
        <v>298</v>
      </c>
      <c r="V4" s="5" t="s">
        <v>299</v>
      </c>
      <c r="W4" s="5" t="s">
        <v>300</v>
      </c>
      <c r="X4" s="5" t="s">
        <v>301</v>
      </c>
      <c r="Y4" s="5" t="s">
        <v>300</v>
      </c>
      <c r="Z4" s="5" t="s">
        <v>302</v>
      </c>
      <c r="AA4" s="5" t="s">
        <v>303</v>
      </c>
      <c r="AB4" s="5" t="s">
        <v>304</v>
      </c>
      <c r="AC4" s="5" t="s">
        <v>305</v>
      </c>
      <c r="AD4" s="5" t="s">
        <v>305</v>
      </c>
      <c r="AE4" s="5" t="s">
        <v>305</v>
      </c>
      <c r="AF4" s="5"/>
    </row>
    <row r="5" spans="1:32" ht="31.8" thickBot="1" x14ac:dyDescent="0.35">
      <c r="A5" s="1" t="s">
        <v>46</v>
      </c>
      <c r="B5" s="3" t="s">
        <v>6</v>
      </c>
      <c r="C5" s="5">
        <v>9</v>
      </c>
      <c r="D5" s="10" t="s">
        <v>20</v>
      </c>
      <c r="E5" s="20">
        <v>7.2</v>
      </c>
      <c r="F5" s="20">
        <v>9.5</v>
      </c>
      <c r="G5" s="20">
        <v>7.2</v>
      </c>
      <c r="H5" s="20">
        <v>7.2</v>
      </c>
      <c r="I5" s="20">
        <v>10.1</v>
      </c>
      <c r="J5" s="20">
        <v>12.5</v>
      </c>
      <c r="K5" s="20">
        <v>14</v>
      </c>
      <c r="L5" s="20">
        <v>14</v>
      </c>
      <c r="M5" s="20">
        <v>14</v>
      </c>
      <c r="N5" s="20">
        <v>7.2</v>
      </c>
      <c r="O5" s="20">
        <v>10.1</v>
      </c>
      <c r="P5" s="20">
        <v>12.5</v>
      </c>
      <c r="Q5" s="20">
        <v>13.3</v>
      </c>
      <c r="R5" s="20">
        <v>13.3</v>
      </c>
      <c r="S5" s="20">
        <v>13.3</v>
      </c>
      <c r="T5" s="20">
        <v>7.2</v>
      </c>
      <c r="U5" s="20">
        <v>10.4</v>
      </c>
      <c r="V5" s="20">
        <v>12.5</v>
      </c>
      <c r="W5" s="20">
        <v>14</v>
      </c>
      <c r="X5" s="20">
        <v>14</v>
      </c>
      <c r="Y5" s="20">
        <v>14</v>
      </c>
      <c r="Z5" s="20">
        <v>7.2</v>
      </c>
      <c r="AA5" s="20">
        <v>10.1</v>
      </c>
      <c r="AB5" s="20">
        <v>12.5</v>
      </c>
      <c r="AC5" s="20">
        <v>13.3</v>
      </c>
      <c r="AD5" s="20">
        <v>13.3</v>
      </c>
      <c r="AE5" s="20">
        <v>13.3</v>
      </c>
      <c r="AF5" s="5"/>
    </row>
    <row r="6" spans="1:32" ht="16.2" thickBot="1" x14ac:dyDescent="0.35">
      <c r="A6" s="1" t="s">
        <v>470</v>
      </c>
      <c r="B6" s="3" t="s">
        <v>7</v>
      </c>
      <c r="C6" s="5" t="s">
        <v>21</v>
      </c>
      <c r="D6" s="11" t="s">
        <v>8</v>
      </c>
      <c r="E6" s="5" t="s">
        <v>410</v>
      </c>
      <c r="F6" s="5" t="s">
        <v>410</v>
      </c>
      <c r="G6" s="5" t="s">
        <v>410</v>
      </c>
      <c r="H6" s="5" t="s">
        <v>410</v>
      </c>
      <c r="I6" s="5" t="s">
        <v>410</v>
      </c>
      <c r="J6" s="5" t="s">
        <v>410</v>
      </c>
      <c r="K6" s="5" t="s">
        <v>410</v>
      </c>
      <c r="L6" s="5" t="s">
        <v>410</v>
      </c>
      <c r="M6" s="5" t="s">
        <v>410</v>
      </c>
      <c r="N6" s="5" t="s">
        <v>410</v>
      </c>
      <c r="O6" s="5" t="s">
        <v>410</v>
      </c>
      <c r="P6" s="5" t="s">
        <v>410</v>
      </c>
      <c r="Q6" s="5" t="s">
        <v>410</v>
      </c>
      <c r="R6" s="5" t="s">
        <v>410</v>
      </c>
      <c r="S6" s="5" t="s">
        <v>410</v>
      </c>
      <c r="T6" s="5" t="s">
        <v>410</v>
      </c>
      <c r="U6" s="5" t="s">
        <v>410</v>
      </c>
      <c r="V6" s="5" t="s">
        <v>410</v>
      </c>
      <c r="W6" s="5" t="s">
        <v>410</v>
      </c>
      <c r="X6" s="5" t="s">
        <v>410</v>
      </c>
      <c r="Y6" s="5" t="s">
        <v>410</v>
      </c>
      <c r="Z6" s="5" t="s">
        <v>410</v>
      </c>
      <c r="AA6" s="5" t="s">
        <v>410</v>
      </c>
      <c r="AB6" s="5" t="s">
        <v>410</v>
      </c>
      <c r="AC6" s="5" t="s">
        <v>410</v>
      </c>
      <c r="AD6" s="5" t="s">
        <v>410</v>
      </c>
      <c r="AE6" s="5" t="s">
        <v>410</v>
      </c>
      <c r="AF6" s="5"/>
    </row>
    <row r="7" spans="1:32" ht="24.6" thickBot="1" x14ac:dyDescent="0.35">
      <c r="A7" s="1" t="s">
        <v>471</v>
      </c>
      <c r="B7" s="3" t="s">
        <v>3</v>
      </c>
      <c r="C7" s="5" t="s">
        <v>9</v>
      </c>
      <c r="D7" s="11" t="s">
        <v>10</v>
      </c>
      <c r="E7" s="5" t="s">
        <v>411</v>
      </c>
      <c r="F7" s="5" t="s">
        <v>411</v>
      </c>
      <c r="G7" s="5" t="s">
        <v>411</v>
      </c>
      <c r="H7" s="5" t="s">
        <v>411</v>
      </c>
      <c r="I7" s="5" t="s">
        <v>411</v>
      </c>
      <c r="J7" s="5" t="s">
        <v>411</v>
      </c>
      <c r="K7" s="5" t="s">
        <v>411</v>
      </c>
      <c r="L7" s="5" t="s">
        <v>411</v>
      </c>
      <c r="M7" s="5" t="s">
        <v>411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9</v>
      </c>
      <c r="S7" s="5" t="s">
        <v>9</v>
      </c>
      <c r="T7" s="5" t="s">
        <v>411</v>
      </c>
      <c r="U7" s="5" t="s">
        <v>411</v>
      </c>
      <c r="V7" s="5" t="s">
        <v>411</v>
      </c>
      <c r="W7" s="5" t="s">
        <v>411</v>
      </c>
      <c r="X7" s="5" t="s">
        <v>411</v>
      </c>
      <c r="Y7" s="5" t="s">
        <v>411</v>
      </c>
      <c r="Z7" s="5" t="s">
        <v>9</v>
      </c>
      <c r="AA7" s="5" t="s">
        <v>9</v>
      </c>
      <c r="AB7" s="5" t="s">
        <v>9</v>
      </c>
      <c r="AC7" s="5" t="s">
        <v>9</v>
      </c>
      <c r="AD7" s="5" t="s">
        <v>9</v>
      </c>
      <c r="AE7" s="5" t="s">
        <v>9</v>
      </c>
      <c r="AF7" s="5"/>
    </row>
    <row r="8" spans="1:32" ht="16.2" thickBot="1" x14ac:dyDescent="0.35">
      <c r="A8" s="1" t="s">
        <v>47</v>
      </c>
      <c r="B8" s="3" t="s">
        <v>6</v>
      </c>
      <c r="C8" s="5">
        <v>0.12</v>
      </c>
      <c r="D8" s="11" t="s">
        <v>11</v>
      </c>
      <c r="E8" s="5" t="s">
        <v>410</v>
      </c>
      <c r="F8" s="5" t="s">
        <v>410</v>
      </c>
      <c r="G8" s="5" t="s">
        <v>410</v>
      </c>
      <c r="H8" s="5" t="s">
        <v>410</v>
      </c>
      <c r="I8" s="5" t="s">
        <v>410</v>
      </c>
      <c r="J8" s="5" t="s">
        <v>410</v>
      </c>
      <c r="K8" s="5" t="s">
        <v>410</v>
      </c>
      <c r="L8" s="5" t="s">
        <v>410</v>
      </c>
      <c r="M8" s="5" t="s">
        <v>410</v>
      </c>
      <c r="N8" s="5">
        <v>0.23</v>
      </c>
      <c r="O8" s="5">
        <v>0.3</v>
      </c>
      <c r="P8" s="5">
        <v>0.3</v>
      </c>
      <c r="Q8" s="5">
        <v>0.3</v>
      </c>
      <c r="R8" s="5">
        <v>0.3</v>
      </c>
      <c r="S8" s="5">
        <v>0.3</v>
      </c>
      <c r="T8" s="5" t="s">
        <v>410</v>
      </c>
      <c r="U8" s="5" t="s">
        <v>410</v>
      </c>
      <c r="V8" s="5" t="s">
        <v>410</v>
      </c>
      <c r="W8" s="5" t="s">
        <v>410</v>
      </c>
      <c r="X8" s="5" t="s">
        <v>410</v>
      </c>
      <c r="Y8" s="5" t="s">
        <v>410</v>
      </c>
      <c r="Z8" s="5">
        <v>0.23</v>
      </c>
      <c r="AA8" s="5">
        <v>0.3</v>
      </c>
      <c r="AB8" s="5">
        <v>0.3</v>
      </c>
      <c r="AC8" s="5">
        <v>0.3</v>
      </c>
      <c r="AD8" s="5">
        <v>0.3</v>
      </c>
      <c r="AE8" s="5">
        <v>0.3</v>
      </c>
      <c r="AF8" s="5"/>
    </row>
    <row r="9" spans="1:32" ht="16.2" thickBot="1" x14ac:dyDescent="0.35">
      <c r="A9" s="1" t="s">
        <v>59</v>
      </c>
      <c r="B9" s="3" t="s">
        <v>6</v>
      </c>
      <c r="C9" s="5">
        <v>0.55000000000000004</v>
      </c>
      <c r="D9" s="11" t="s">
        <v>12</v>
      </c>
      <c r="E9" s="5" t="s">
        <v>410</v>
      </c>
      <c r="F9" s="5" t="s">
        <v>410</v>
      </c>
      <c r="G9" s="5" t="s">
        <v>410</v>
      </c>
      <c r="H9" s="5" t="s">
        <v>410</v>
      </c>
      <c r="I9" s="5" t="s">
        <v>410</v>
      </c>
      <c r="J9" s="5" t="s">
        <v>410</v>
      </c>
      <c r="K9" s="5" t="s">
        <v>410</v>
      </c>
      <c r="L9" s="5" t="s">
        <v>410</v>
      </c>
      <c r="M9" s="5" t="s">
        <v>410</v>
      </c>
      <c r="N9" s="5">
        <v>1.4</v>
      </c>
      <c r="O9" s="5">
        <v>1.8</v>
      </c>
      <c r="P9" s="5">
        <v>2.2999999999999998</v>
      </c>
      <c r="Q9" s="5">
        <v>2.2999999999999998</v>
      </c>
      <c r="R9" s="5">
        <v>2.2999999999999998</v>
      </c>
      <c r="S9" s="5">
        <v>2.2999999999999998</v>
      </c>
      <c r="T9" s="5" t="s">
        <v>410</v>
      </c>
      <c r="U9" s="5" t="s">
        <v>410</v>
      </c>
      <c r="V9" s="5" t="s">
        <v>410</v>
      </c>
      <c r="W9" s="5" t="s">
        <v>410</v>
      </c>
      <c r="X9" s="5" t="s">
        <v>410</v>
      </c>
      <c r="Y9" s="5" t="s">
        <v>410</v>
      </c>
      <c r="Z9" s="5">
        <v>1.4</v>
      </c>
      <c r="AA9" s="5">
        <v>1.8</v>
      </c>
      <c r="AB9" s="5">
        <v>2.2999999999999998</v>
      </c>
      <c r="AC9" s="5">
        <v>2.2999999999999998</v>
      </c>
      <c r="AD9" s="5">
        <v>2.2999999999999998</v>
      </c>
      <c r="AE9" s="5">
        <v>2.2999999999999998</v>
      </c>
      <c r="AF9" s="5"/>
    </row>
    <row r="10" spans="1:32" ht="31.8" thickBot="1" x14ac:dyDescent="0.35">
      <c r="A10" s="1" t="s">
        <v>58</v>
      </c>
      <c r="B10" s="3" t="s">
        <v>6</v>
      </c>
      <c r="C10" s="5">
        <v>50</v>
      </c>
      <c r="D10" s="11" t="s">
        <v>22</v>
      </c>
      <c r="E10" s="5" t="s">
        <v>410</v>
      </c>
      <c r="F10" s="5" t="s">
        <v>410</v>
      </c>
      <c r="G10" s="5" t="s">
        <v>410</v>
      </c>
      <c r="H10" s="5" t="s">
        <v>410</v>
      </c>
      <c r="I10" s="5" t="s">
        <v>410</v>
      </c>
      <c r="J10" s="5" t="s">
        <v>410</v>
      </c>
      <c r="K10" s="5" t="s">
        <v>410</v>
      </c>
      <c r="L10" s="5" t="s">
        <v>410</v>
      </c>
      <c r="M10" s="5" t="s">
        <v>410</v>
      </c>
      <c r="N10" s="5" t="s">
        <v>410</v>
      </c>
      <c r="O10" s="5" t="s">
        <v>410</v>
      </c>
      <c r="P10" s="5" t="s">
        <v>410</v>
      </c>
      <c r="Q10" s="5" t="s">
        <v>410</v>
      </c>
      <c r="R10" s="5" t="s">
        <v>410</v>
      </c>
      <c r="S10" s="5" t="s">
        <v>410</v>
      </c>
      <c r="T10" s="5" t="s">
        <v>410</v>
      </c>
      <c r="U10" s="5" t="s">
        <v>410</v>
      </c>
      <c r="V10" s="5" t="s">
        <v>410</v>
      </c>
      <c r="W10" s="5" t="s">
        <v>410</v>
      </c>
      <c r="X10" s="5" t="s">
        <v>410</v>
      </c>
      <c r="Y10" s="5" t="s">
        <v>410</v>
      </c>
      <c r="Z10" s="5" t="s">
        <v>410</v>
      </c>
      <c r="AA10" s="5" t="s">
        <v>410</v>
      </c>
      <c r="AB10" s="5" t="s">
        <v>410</v>
      </c>
      <c r="AC10" s="5" t="s">
        <v>410</v>
      </c>
      <c r="AD10" s="5" t="s">
        <v>410</v>
      </c>
      <c r="AE10" s="5" t="s">
        <v>410</v>
      </c>
      <c r="AF10" s="5"/>
    </row>
    <row r="11" spans="1:32" ht="24.6" thickBot="1" x14ac:dyDescent="0.35">
      <c r="A11" s="13" t="s">
        <v>51</v>
      </c>
      <c r="B11" s="3" t="s">
        <v>3</v>
      </c>
      <c r="C11" s="5" t="s">
        <v>13</v>
      </c>
      <c r="D11" s="11" t="s">
        <v>14</v>
      </c>
      <c r="E11" s="5" t="s">
        <v>429</v>
      </c>
      <c r="F11" s="5" t="s">
        <v>430</v>
      </c>
      <c r="G11" s="5" t="s">
        <v>431</v>
      </c>
      <c r="H11" s="5" t="s">
        <v>431</v>
      </c>
      <c r="I11" s="5" t="s">
        <v>432</v>
      </c>
      <c r="J11" s="5" t="s">
        <v>432</v>
      </c>
      <c r="K11" s="5" t="s">
        <v>432</v>
      </c>
      <c r="L11" s="5" t="s">
        <v>432</v>
      </c>
      <c r="M11" s="5" t="s">
        <v>432</v>
      </c>
      <c r="N11" s="5" t="s">
        <v>433</v>
      </c>
      <c r="O11" s="5" t="s">
        <v>434</v>
      </c>
      <c r="P11" s="5" t="s">
        <v>434</v>
      </c>
      <c r="Q11" s="5" t="s">
        <v>434</v>
      </c>
      <c r="R11" s="5" t="s">
        <v>434</v>
      </c>
      <c r="S11" s="5" t="s">
        <v>434</v>
      </c>
      <c r="T11" s="5" t="s">
        <v>431</v>
      </c>
      <c r="U11" s="5" t="s">
        <v>432</v>
      </c>
      <c r="V11" s="5" t="s">
        <v>432</v>
      </c>
      <c r="W11" s="5" t="s">
        <v>432</v>
      </c>
      <c r="X11" s="5" t="s">
        <v>432</v>
      </c>
      <c r="Y11" s="5" t="s">
        <v>432</v>
      </c>
      <c r="Z11" s="5" t="s">
        <v>433</v>
      </c>
      <c r="AA11" s="5" t="s">
        <v>434</v>
      </c>
      <c r="AB11" s="5" t="s">
        <v>434</v>
      </c>
      <c r="AC11" s="5" t="s">
        <v>434</v>
      </c>
      <c r="AD11" s="5" t="s">
        <v>434</v>
      </c>
      <c r="AE11" s="5" t="s">
        <v>434</v>
      </c>
      <c r="AF11" s="5"/>
    </row>
    <row r="12" spans="1:32" ht="31.8" thickBot="1" x14ac:dyDescent="0.35">
      <c r="A12" s="17" t="s">
        <v>61</v>
      </c>
      <c r="B12" s="3" t="s">
        <v>3</v>
      </c>
      <c r="C12" s="9" t="s">
        <v>36</v>
      </c>
      <c r="D12" s="11" t="s">
        <v>462</v>
      </c>
      <c r="E12" s="9" t="s">
        <v>463</v>
      </c>
      <c r="F12" s="9" t="s">
        <v>463</v>
      </c>
      <c r="G12" s="9" t="s">
        <v>485</v>
      </c>
      <c r="H12" s="9" t="s">
        <v>485</v>
      </c>
      <c r="I12" s="9" t="s">
        <v>485</v>
      </c>
      <c r="J12" s="9" t="s">
        <v>485</v>
      </c>
      <c r="K12" s="9" t="s">
        <v>485</v>
      </c>
      <c r="L12" s="9" t="s">
        <v>485</v>
      </c>
      <c r="M12" s="9" t="s">
        <v>485</v>
      </c>
      <c r="N12" s="9" t="s">
        <v>464</v>
      </c>
      <c r="O12" s="9" t="s">
        <v>464</v>
      </c>
      <c r="P12" s="9" t="s">
        <v>464</v>
      </c>
      <c r="Q12" s="9" t="s">
        <v>464</v>
      </c>
      <c r="R12" s="9" t="s">
        <v>464</v>
      </c>
      <c r="S12" s="9" t="s">
        <v>464</v>
      </c>
      <c r="T12" s="9" t="s">
        <v>485</v>
      </c>
      <c r="U12" s="9" t="s">
        <v>485</v>
      </c>
      <c r="V12" s="9" t="s">
        <v>485</v>
      </c>
      <c r="W12" s="9" t="s">
        <v>485</v>
      </c>
      <c r="X12" s="9" t="s">
        <v>485</v>
      </c>
      <c r="Y12" s="9" t="s">
        <v>485</v>
      </c>
      <c r="Z12" s="9" t="s">
        <v>464</v>
      </c>
      <c r="AA12" s="9" t="s">
        <v>464</v>
      </c>
      <c r="AB12" s="9" t="s">
        <v>464</v>
      </c>
      <c r="AC12" s="9" t="s">
        <v>464</v>
      </c>
      <c r="AD12" s="9" t="s">
        <v>464</v>
      </c>
      <c r="AE12" s="9" t="s">
        <v>464</v>
      </c>
      <c r="AF12" s="9"/>
    </row>
    <row r="13" spans="1:32" ht="16.2" thickBot="1" x14ac:dyDescent="0.35">
      <c r="A13" s="2" t="s">
        <v>534</v>
      </c>
      <c r="B13" s="3" t="s">
        <v>3</v>
      </c>
      <c r="C13" s="22"/>
      <c r="D13" s="31"/>
      <c r="E13" s="46"/>
      <c r="F13" s="46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32" customFormat="1" ht="16.8" thickBot="1" x14ac:dyDescent="0.35">
      <c r="A14" s="17" t="s">
        <v>531</v>
      </c>
      <c r="B14" s="26" t="s">
        <v>3</v>
      </c>
      <c r="C14" s="7"/>
      <c r="E14" s="30" t="s">
        <v>537</v>
      </c>
      <c r="F14" s="29" t="s">
        <v>37</v>
      </c>
      <c r="G14" s="29" t="s">
        <v>37</v>
      </c>
      <c r="H14" s="29" t="s">
        <v>37</v>
      </c>
      <c r="I14" s="29" t="s">
        <v>37</v>
      </c>
      <c r="J14" s="29" t="s">
        <v>37</v>
      </c>
      <c r="K14" s="29" t="s">
        <v>37</v>
      </c>
      <c r="L14" s="29" t="s">
        <v>37</v>
      </c>
      <c r="M14" s="29" t="s">
        <v>37</v>
      </c>
      <c r="N14" s="29" t="s">
        <v>37</v>
      </c>
      <c r="O14" s="29" t="s">
        <v>37</v>
      </c>
      <c r="P14" s="29" t="s">
        <v>37</v>
      </c>
      <c r="Q14" s="29" t="s">
        <v>37</v>
      </c>
      <c r="R14" s="29" t="s">
        <v>37</v>
      </c>
      <c r="S14" s="29" t="s">
        <v>37</v>
      </c>
      <c r="T14" s="29" t="s">
        <v>37</v>
      </c>
      <c r="U14" s="29" t="s">
        <v>37</v>
      </c>
      <c r="V14" s="29" t="s">
        <v>37</v>
      </c>
      <c r="W14" s="29" t="s">
        <v>37</v>
      </c>
      <c r="X14" s="29" t="s">
        <v>37</v>
      </c>
      <c r="Y14" s="29" t="s">
        <v>37</v>
      </c>
      <c r="Z14" s="29" t="s">
        <v>37</v>
      </c>
      <c r="AA14" s="29" t="s">
        <v>37</v>
      </c>
      <c r="AB14" s="29" t="s">
        <v>37</v>
      </c>
      <c r="AC14" s="29" t="s">
        <v>37</v>
      </c>
      <c r="AD14" s="29" t="s">
        <v>37</v>
      </c>
      <c r="AE14" s="29" t="s">
        <v>37</v>
      </c>
    </row>
    <row r="15" spans="1:32" customFormat="1" ht="24.6" thickBot="1" x14ac:dyDescent="0.35">
      <c r="A15" s="17" t="s">
        <v>535</v>
      </c>
      <c r="B15" s="26" t="s">
        <v>55</v>
      </c>
      <c r="C15" s="7"/>
      <c r="E15" s="30" t="s">
        <v>538</v>
      </c>
      <c r="F15" s="30" t="s">
        <v>541</v>
      </c>
      <c r="G15" s="29" t="s">
        <v>551</v>
      </c>
      <c r="H15" s="29" t="s">
        <v>551</v>
      </c>
      <c r="I15" s="29" t="s">
        <v>551</v>
      </c>
      <c r="J15" s="29" t="s">
        <v>551</v>
      </c>
      <c r="K15" s="29" t="s">
        <v>551</v>
      </c>
      <c r="L15" s="29" t="s">
        <v>551</v>
      </c>
      <c r="M15" s="29" t="s">
        <v>551</v>
      </c>
      <c r="N15" s="29" t="s">
        <v>551</v>
      </c>
      <c r="O15" s="29" t="s">
        <v>551</v>
      </c>
      <c r="P15" s="29" t="s">
        <v>551</v>
      </c>
      <c r="Q15" s="29" t="s">
        <v>551</v>
      </c>
      <c r="R15" s="29" t="s">
        <v>551</v>
      </c>
      <c r="S15" s="29" t="s">
        <v>551</v>
      </c>
      <c r="T15" s="29" t="s">
        <v>551</v>
      </c>
      <c r="U15" s="29" t="s">
        <v>551</v>
      </c>
      <c r="V15" s="29" t="s">
        <v>551</v>
      </c>
      <c r="W15" s="29" t="s">
        <v>551</v>
      </c>
      <c r="X15" s="29" t="s">
        <v>551</v>
      </c>
      <c r="Y15" s="29" t="s">
        <v>551</v>
      </c>
      <c r="Z15" s="29" t="s">
        <v>551</v>
      </c>
      <c r="AA15" s="29" t="s">
        <v>551</v>
      </c>
      <c r="AB15" s="29" t="s">
        <v>551</v>
      </c>
      <c r="AC15" s="29" t="s">
        <v>551</v>
      </c>
      <c r="AD15" s="29" t="s">
        <v>551</v>
      </c>
      <c r="AE15" s="29" t="s">
        <v>551</v>
      </c>
    </row>
    <row r="16" spans="1:32" customFormat="1" ht="24.6" thickBot="1" x14ac:dyDescent="0.35">
      <c r="A16" s="17" t="s">
        <v>532</v>
      </c>
      <c r="B16" s="26" t="s">
        <v>3</v>
      </c>
      <c r="C16" s="7"/>
      <c r="E16" s="30" t="s">
        <v>550</v>
      </c>
      <c r="F16" s="30" t="s">
        <v>550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s">
        <v>37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37</v>
      </c>
      <c r="T16" s="29" t="s">
        <v>37</v>
      </c>
      <c r="U16" s="29" t="s">
        <v>37</v>
      </c>
      <c r="V16" s="29" t="s">
        <v>37</v>
      </c>
      <c r="W16" s="29" t="s">
        <v>37</v>
      </c>
      <c r="X16" s="29" t="s">
        <v>37</v>
      </c>
      <c r="Y16" s="29" t="s">
        <v>37</v>
      </c>
      <c r="Z16" s="29" t="s">
        <v>37</v>
      </c>
      <c r="AA16" s="29" t="s">
        <v>37</v>
      </c>
      <c r="AB16" s="29" t="s">
        <v>37</v>
      </c>
      <c r="AC16" s="29" t="s">
        <v>37</v>
      </c>
      <c r="AD16" s="29" t="s">
        <v>37</v>
      </c>
      <c r="AE16" s="29" t="s">
        <v>37</v>
      </c>
    </row>
    <row r="17" spans="1:31" ht="31.8" thickBot="1" x14ac:dyDescent="0.35">
      <c r="A17" s="2" t="s">
        <v>552</v>
      </c>
      <c r="B17" s="2" t="s">
        <v>60</v>
      </c>
      <c r="D17" s="11" t="s">
        <v>555</v>
      </c>
      <c r="E17" s="51">
        <f>61980/2</f>
        <v>30990</v>
      </c>
      <c r="F17" s="51">
        <f>87980/2</f>
        <v>43990</v>
      </c>
      <c r="G17" s="51">
        <f>80980/2</f>
        <v>40490</v>
      </c>
      <c r="H17" s="2">
        <v>0</v>
      </c>
      <c r="I17" s="51">
        <f>97280/2</f>
        <v>48640</v>
      </c>
      <c r="J17" s="51">
        <f>109280/2</f>
        <v>54640</v>
      </c>
      <c r="K17" s="51">
        <f>115280/2</f>
        <v>57640</v>
      </c>
      <c r="L17" s="51">
        <f>117280/2</f>
        <v>58640</v>
      </c>
      <c r="M17" s="51">
        <f>115280/2</f>
        <v>57640</v>
      </c>
      <c r="N17" s="51">
        <f>73380/2</f>
        <v>36690</v>
      </c>
      <c r="O17" s="51">
        <f>91780/2</f>
        <v>45890</v>
      </c>
      <c r="P17" s="51">
        <f>107580/2</f>
        <v>53790</v>
      </c>
      <c r="Q17" s="51">
        <f>112080/2</f>
        <v>56040</v>
      </c>
      <c r="R17" s="51">
        <f>113580/2</f>
        <v>56790</v>
      </c>
      <c r="S17" s="51">
        <f>112080/2</f>
        <v>56040</v>
      </c>
      <c r="T17" s="2">
        <f>89180/2</f>
        <v>44590</v>
      </c>
      <c r="U17" s="51">
        <f>107680/2</f>
        <v>53840</v>
      </c>
      <c r="V17" s="51">
        <f>121280/2</f>
        <v>60640</v>
      </c>
      <c r="W17" s="2">
        <f>127780/2</f>
        <v>63890</v>
      </c>
      <c r="X17" s="2">
        <f>129780/2</f>
        <v>64890</v>
      </c>
      <c r="Y17" s="51">
        <f>127780/2</f>
        <v>63890</v>
      </c>
      <c r="Z17" s="2">
        <f>81580/2</f>
        <v>40790</v>
      </c>
      <c r="AA17" s="2">
        <f>102180/2</f>
        <v>51090</v>
      </c>
      <c r="AB17" s="51">
        <f>119580/2</f>
        <v>59790</v>
      </c>
      <c r="AC17" s="51">
        <f>124580/2</f>
        <v>62290</v>
      </c>
      <c r="AD17" s="2">
        <v>0</v>
      </c>
      <c r="AE17" s="51">
        <f>124580/2</f>
        <v>62290</v>
      </c>
    </row>
    <row r="18" spans="1:31" x14ac:dyDescent="0.3">
      <c r="A18" s="24" t="s">
        <v>557</v>
      </c>
    </row>
    <row r="19" spans="1:31" x14ac:dyDescent="0.3">
      <c r="A19" s="24" t="s">
        <v>558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1F1A-25CB-4357-AA92-79D3362290DE}">
  <dimension ref="A1:BL17"/>
  <sheetViews>
    <sheetView zoomScale="70" zoomScaleNormal="70" workbookViewId="0">
      <pane xSplit="4" ySplit="1" topLeftCell="E11" activePane="bottomRight" state="frozen"/>
      <selection pane="topRight" activeCell="E1" sqref="E1"/>
      <selection pane="bottomLeft" activeCell="A2" sqref="A2"/>
      <selection pane="bottomRight" activeCell="E15" sqref="E15"/>
    </sheetView>
  </sheetViews>
  <sheetFormatPr defaultRowHeight="16.2" x14ac:dyDescent="0.3"/>
  <cols>
    <col min="1" max="1" width="33.44140625" customWidth="1"/>
    <col min="2" max="2" width="13.44140625" customWidth="1"/>
    <col min="3" max="3" width="16.44140625" style="7" hidden="1" customWidth="1"/>
    <col min="4" max="4" width="34.44140625" hidden="1" customWidth="1"/>
    <col min="5" max="31" width="14.6640625" customWidth="1"/>
  </cols>
  <sheetData>
    <row r="1" spans="1:64" ht="31.8" thickBot="1" x14ac:dyDescent="0.35">
      <c r="A1" s="1" t="s">
        <v>15</v>
      </c>
      <c r="B1" s="8" t="s">
        <v>0</v>
      </c>
      <c r="C1" s="4" t="s">
        <v>1</v>
      </c>
      <c r="D1" s="1" t="s">
        <v>2</v>
      </c>
    </row>
    <row r="2" spans="1:64" ht="47.4" thickBot="1" x14ac:dyDescent="0.35">
      <c r="A2" s="1" t="s">
        <v>41</v>
      </c>
      <c r="B2" s="3" t="s">
        <v>3</v>
      </c>
      <c r="C2" s="5" t="s">
        <v>23</v>
      </c>
      <c r="D2" s="10" t="s">
        <v>31</v>
      </c>
      <c r="E2" s="5" t="s">
        <v>101</v>
      </c>
      <c r="F2" s="5" t="s">
        <v>101</v>
      </c>
      <c r="G2" s="5" t="s">
        <v>101</v>
      </c>
      <c r="H2" s="5" t="s">
        <v>101</v>
      </c>
      <c r="I2" s="5" t="s">
        <v>101</v>
      </c>
      <c r="J2" s="5" t="s">
        <v>101</v>
      </c>
      <c r="K2" s="5" t="s">
        <v>101</v>
      </c>
      <c r="L2" s="5" t="s">
        <v>101</v>
      </c>
      <c r="M2" s="5" t="s">
        <v>101</v>
      </c>
      <c r="N2" s="5" t="s">
        <v>101</v>
      </c>
      <c r="O2" s="5" t="s">
        <v>101</v>
      </c>
      <c r="P2" s="5" t="s">
        <v>101</v>
      </c>
      <c r="Q2" s="5" t="s">
        <v>101</v>
      </c>
      <c r="R2" s="5" t="s">
        <v>101</v>
      </c>
      <c r="S2" s="5" t="s">
        <v>101</v>
      </c>
      <c r="T2" s="5" t="s">
        <v>101</v>
      </c>
      <c r="U2" s="5" t="s">
        <v>101</v>
      </c>
      <c r="V2" s="5" t="s">
        <v>101</v>
      </c>
      <c r="W2" s="5" t="s">
        <v>101</v>
      </c>
      <c r="X2" s="5" t="s">
        <v>101</v>
      </c>
      <c r="Y2" s="5" t="s">
        <v>101</v>
      </c>
      <c r="Z2" s="5" t="s">
        <v>101</v>
      </c>
      <c r="AA2" s="5" t="s">
        <v>101</v>
      </c>
      <c r="AB2" s="5" t="s">
        <v>101</v>
      </c>
      <c r="AC2" s="5" t="s">
        <v>101</v>
      </c>
      <c r="AD2" s="5" t="s">
        <v>101</v>
      </c>
      <c r="AE2" s="5" t="s">
        <v>101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spans="1:64" ht="31.8" thickBot="1" x14ac:dyDescent="0.35">
      <c r="A3" s="1" t="s">
        <v>44</v>
      </c>
      <c r="B3" s="3" t="s">
        <v>3</v>
      </c>
      <c r="C3" s="5" t="s">
        <v>42</v>
      </c>
      <c r="D3" s="11" t="s">
        <v>24</v>
      </c>
      <c r="E3" s="5" t="s">
        <v>102</v>
      </c>
      <c r="F3" s="5" t="s">
        <v>102</v>
      </c>
      <c r="G3" s="5" t="s">
        <v>102</v>
      </c>
      <c r="H3" s="5" t="s">
        <v>102</v>
      </c>
      <c r="I3" s="5" t="s">
        <v>102</v>
      </c>
      <c r="J3" s="5" t="s">
        <v>102</v>
      </c>
      <c r="K3" s="5" t="s">
        <v>102</v>
      </c>
      <c r="L3" s="5" t="s">
        <v>102</v>
      </c>
      <c r="M3" s="5" t="s">
        <v>102</v>
      </c>
      <c r="N3" s="5" t="s">
        <v>102</v>
      </c>
      <c r="O3" s="5" t="s">
        <v>102</v>
      </c>
      <c r="P3" s="5" t="s">
        <v>102</v>
      </c>
      <c r="Q3" s="5" t="s">
        <v>102</v>
      </c>
      <c r="R3" s="5" t="s">
        <v>102</v>
      </c>
      <c r="S3" s="5" t="s">
        <v>102</v>
      </c>
      <c r="T3" s="5" t="s">
        <v>110</v>
      </c>
      <c r="U3" s="5" t="s">
        <v>110</v>
      </c>
      <c r="V3" s="5" t="s">
        <v>110</v>
      </c>
      <c r="W3" s="5" t="s">
        <v>110</v>
      </c>
      <c r="X3" s="5" t="s">
        <v>110</v>
      </c>
      <c r="Y3" s="5" t="s">
        <v>110</v>
      </c>
      <c r="Z3" s="5" t="s">
        <v>110</v>
      </c>
      <c r="AA3" s="5" t="s">
        <v>110</v>
      </c>
      <c r="AB3" s="5" t="s">
        <v>110</v>
      </c>
      <c r="AC3" s="5" t="s">
        <v>110</v>
      </c>
      <c r="AD3" s="5" t="s">
        <v>110</v>
      </c>
      <c r="AE3" s="5" t="s">
        <v>110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spans="1:64" ht="31.8" thickBot="1" x14ac:dyDescent="0.35">
      <c r="A4" s="1" t="s">
        <v>52</v>
      </c>
      <c r="B4" s="3" t="s">
        <v>3</v>
      </c>
      <c r="C4" s="5" t="s">
        <v>43</v>
      </c>
      <c r="D4" s="10" t="s">
        <v>32</v>
      </c>
      <c r="E4" s="5" t="s">
        <v>103</v>
      </c>
      <c r="F4" s="5" t="s">
        <v>104</v>
      </c>
      <c r="G4" s="5" t="s">
        <v>111</v>
      </c>
      <c r="H4" s="5" t="s">
        <v>113</v>
      </c>
      <c r="I4" s="5" t="s">
        <v>114</v>
      </c>
      <c r="J4" s="5" t="s">
        <v>115</v>
      </c>
      <c r="K4" s="5" t="s">
        <v>116</v>
      </c>
      <c r="L4" s="5" t="s">
        <v>117</v>
      </c>
      <c r="M4" s="5" t="s">
        <v>118</v>
      </c>
      <c r="N4" s="5" t="s">
        <v>111</v>
      </c>
      <c r="O4" s="5" t="s">
        <v>114</v>
      </c>
      <c r="P4" s="5" t="s">
        <v>115</v>
      </c>
      <c r="Q4" s="5" t="s">
        <v>116</v>
      </c>
      <c r="R4" s="5" t="s">
        <v>117</v>
      </c>
      <c r="S4" s="5" t="s">
        <v>118</v>
      </c>
      <c r="T4" s="5" t="s">
        <v>119</v>
      </c>
      <c r="U4" s="5" t="s">
        <v>120</v>
      </c>
      <c r="V4" s="5" t="s">
        <v>121</v>
      </c>
      <c r="W4" s="5" t="s">
        <v>122</v>
      </c>
      <c r="X4" s="63" t="s">
        <v>124</v>
      </c>
      <c r="Y4" s="5" t="s">
        <v>126</v>
      </c>
      <c r="Z4" s="5" t="s">
        <v>119</v>
      </c>
      <c r="AA4" s="5" t="s">
        <v>120</v>
      </c>
      <c r="AB4" s="5" t="s">
        <v>121</v>
      </c>
      <c r="AC4" s="5" t="s">
        <v>122</v>
      </c>
      <c r="AD4" s="63" t="s">
        <v>526</v>
      </c>
      <c r="AE4" s="5" t="s">
        <v>126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</row>
    <row r="5" spans="1:64" ht="31.8" thickBot="1" x14ac:dyDescent="0.35">
      <c r="A5" s="1" t="s">
        <v>46</v>
      </c>
      <c r="B5" s="3" t="s">
        <v>6</v>
      </c>
      <c r="C5" s="5">
        <v>28</v>
      </c>
      <c r="D5" s="10" t="s">
        <v>33</v>
      </c>
      <c r="E5" s="5">
        <v>7.2</v>
      </c>
      <c r="F5" s="5">
        <v>9.5</v>
      </c>
      <c r="G5" s="5">
        <v>7.2</v>
      </c>
      <c r="H5" s="5">
        <v>7.2</v>
      </c>
      <c r="I5" s="5">
        <v>10.1</v>
      </c>
      <c r="J5" s="5">
        <v>12.5</v>
      </c>
      <c r="K5" s="5">
        <v>14</v>
      </c>
      <c r="L5" s="5">
        <v>14</v>
      </c>
      <c r="M5" s="5">
        <v>14</v>
      </c>
      <c r="N5" s="5">
        <v>7.2</v>
      </c>
      <c r="O5" s="5">
        <v>10.1</v>
      </c>
      <c r="P5" s="5">
        <v>12.5</v>
      </c>
      <c r="Q5" s="5">
        <v>13.3</v>
      </c>
      <c r="R5" s="5">
        <v>13.3</v>
      </c>
      <c r="S5" s="5">
        <v>13.3</v>
      </c>
      <c r="T5" s="5">
        <v>7.2</v>
      </c>
      <c r="U5" s="5">
        <v>10.4</v>
      </c>
      <c r="V5" s="5">
        <v>12.5</v>
      </c>
      <c r="W5" s="5">
        <v>14</v>
      </c>
      <c r="X5" s="5">
        <v>14</v>
      </c>
      <c r="Y5" s="5">
        <v>14</v>
      </c>
      <c r="Z5" s="5">
        <v>7.2</v>
      </c>
      <c r="AA5" s="5">
        <v>10.1</v>
      </c>
      <c r="AB5" s="5">
        <v>12.5</v>
      </c>
      <c r="AC5" s="5">
        <v>13.3</v>
      </c>
      <c r="AD5" s="5">
        <v>13.3</v>
      </c>
      <c r="AE5" s="5">
        <v>13.3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</row>
    <row r="6" spans="1:64" ht="31.8" thickBot="1" x14ac:dyDescent="0.35">
      <c r="A6" s="1" t="s">
        <v>45</v>
      </c>
      <c r="B6" s="3" t="s">
        <v>7</v>
      </c>
      <c r="C6" s="5">
        <v>250</v>
      </c>
      <c r="D6" s="11" t="s">
        <v>25</v>
      </c>
      <c r="E6" s="5" t="s">
        <v>37</v>
      </c>
      <c r="F6" s="5" t="s">
        <v>37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T6" s="5" t="s">
        <v>37</v>
      </c>
      <c r="U6" s="5" t="s">
        <v>37</v>
      </c>
      <c r="V6" s="5" t="s">
        <v>37</v>
      </c>
      <c r="W6" s="5" t="s">
        <v>37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37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</row>
    <row r="7" spans="1:64" ht="31.8" thickBot="1" x14ac:dyDescent="0.35">
      <c r="A7" s="1" t="s">
        <v>48</v>
      </c>
      <c r="B7" s="3" t="s">
        <v>3</v>
      </c>
      <c r="C7" s="5" t="s">
        <v>490</v>
      </c>
      <c r="D7" s="11" t="s">
        <v>27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9</v>
      </c>
      <c r="K7" s="5" t="s">
        <v>9</v>
      </c>
      <c r="L7" s="5" t="s">
        <v>491</v>
      </c>
      <c r="M7" s="5" t="s">
        <v>525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491</v>
      </c>
      <c r="S7" s="5" t="s">
        <v>525</v>
      </c>
      <c r="T7" s="5" t="s">
        <v>9</v>
      </c>
      <c r="U7" s="5" t="s">
        <v>127</v>
      </c>
      <c r="V7" s="5" t="s">
        <v>127</v>
      </c>
      <c r="W7" s="5" t="s">
        <v>127</v>
      </c>
      <c r="X7" s="5" t="s">
        <v>491</v>
      </c>
      <c r="Y7" s="5" t="s">
        <v>525</v>
      </c>
      <c r="Z7" s="5" t="s">
        <v>9</v>
      </c>
      <c r="AA7" s="5" t="s">
        <v>9</v>
      </c>
      <c r="AB7" s="5" t="s">
        <v>9</v>
      </c>
      <c r="AC7" s="5" t="s">
        <v>9</v>
      </c>
      <c r="AD7" s="5" t="s">
        <v>527</v>
      </c>
      <c r="AE7" s="5" t="s">
        <v>490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spans="1:64" ht="31.8" thickBot="1" x14ac:dyDescent="0.35">
      <c r="A8" s="1" t="s">
        <v>47</v>
      </c>
      <c r="B8" s="3" t="s">
        <v>6</v>
      </c>
      <c r="C8" s="5">
        <v>6.85</v>
      </c>
      <c r="D8" s="11" t="s">
        <v>26</v>
      </c>
      <c r="E8" s="5">
        <v>2.23</v>
      </c>
      <c r="F8" s="5">
        <v>2.8</v>
      </c>
      <c r="G8" s="5">
        <v>1.9</v>
      </c>
      <c r="H8" s="5">
        <v>1.9</v>
      </c>
      <c r="I8" s="5">
        <v>2.88</v>
      </c>
      <c r="J8" s="5">
        <v>4</v>
      </c>
      <c r="K8" s="5">
        <v>4.8</v>
      </c>
      <c r="L8" s="5">
        <v>4.8</v>
      </c>
      <c r="M8" s="5">
        <v>4.8</v>
      </c>
      <c r="N8" s="5">
        <v>2.0099999999999998</v>
      </c>
      <c r="O8" s="5">
        <v>3.04</v>
      </c>
      <c r="P8" s="5">
        <v>4.4400000000000004</v>
      </c>
      <c r="Q8" s="5">
        <v>5.41</v>
      </c>
      <c r="R8" s="5">
        <v>5.41</v>
      </c>
      <c r="S8" s="5">
        <v>5.41</v>
      </c>
      <c r="T8" s="5">
        <v>1.88</v>
      </c>
      <c r="U8" s="5">
        <v>2.86</v>
      </c>
      <c r="V8" s="5">
        <v>3.75</v>
      </c>
      <c r="W8" s="5">
        <v>4.7</v>
      </c>
      <c r="X8" s="5">
        <v>4.7</v>
      </c>
      <c r="Y8" s="5">
        <v>4.7</v>
      </c>
      <c r="Z8" s="5">
        <v>2.1</v>
      </c>
      <c r="AA8" s="5">
        <v>2.85</v>
      </c>
      <c r="AB8" s="5">
        <v>4.3</v>
      </c>
      <c r="AC8" s="5">
        <v>4.8600000000000003</v>
      </c>
      <c r="AD8" s="5">
        <v>4.9000000000000004</v>
      </c>
      <c r="AE8" s="5">
        <v>4.8899999999999997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</row>
    <row r="9" spans="1:64" ht="31.8" thickBot="1" x14ac:dyDescent="0.35">
      <c r="A9" s="1" t="s">
        <v>50</v>
      </c>
      <c r="B9" s="3" t="s">
        <v>6</v>
      </c>
      <c r="C9" s="5">
        <v>20</v>
      </c>
      <c r="D9" s="11" t="s">
        <v>28</v>
      </c>
      <c r="E9" s="5">
        <v>10.199999999999999</v>
      </c>
      <c r="F9" s="5">
        <v>15</v>
      </c>
      <c r="G9" s="5">
        <v>9.5</v>
      </c>
      <c r="H9" s="5">
        <v>9.5</v>
      </c>
      <c r="I9" s="5">
        <v>13.4</v>
      </c>
      <c r="J9" s="5">
        <v>18.3</v>
      </c>
      <c r="K9" s="5">
        <v>22</v>
      </c>
      <c r="L9" s="5">
        <v>13.4</v>
      </c>
      <c r="M9" s="5">
        <v>8.2200000000000006</v>
      </c>
      <c r="N9" s="5">
        <v>10</v>
      </c>
      <c r="O9" s="5">
        <v>14</v>
      </c>
      <c r="P9" s="5">
        <v>20.3</v>
      </c>
      <c r="Q9" s="5">
        <v>24.75</v>
      </c>
      <c r="R9" s="5">
        <v>14.5</v>
      </c>
      <c r="S9" s="5">
        <v>8.69</v>
      </c>
      <c r="T9" s="5">
        <v>10.4</v>
      </c>
      <c r="U9" s="5">
        <v>13.2</v>
      </c>
      <c r="V9" s="5">
        <v>17.350000000000001</v>
      </c>
      <c r="W9" s="5">
        <v>21.8</v>
      </c>
      <c r="X9" s="5">
        <v>13</v>
      </c>
      <c r="Y9" s="5">
        <v>7.31</v>
      </c>
      <c r="Z9" s="5">
        <v>11.7</v>
      </c>
      <c r="AA9" s="5">
        <v>14.1</v>
      </c>
      <c r="AB9" s="5">
        <v>19.8</v>
      </c>
      <c r="AC9" s="5">
        <v>22.5</v>
      </c>
      <c r="AD9" s="5">
        <v>13.1</v>
      </c>
      <c r="AE9" s="5">
        <v>7.76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</row>
    <row r="10" spans="1:64" ht="25.65" customHeight="1" thickBot="1" x14ac:dyDescent="0.35">
      <c r="A10" s="1" t="s">
        <v>49</v>
      </c>
      <c r="B10" s="3" t="s">
        <v>60</v>
      </c>
      <c r="C10" s="5"/>
      <c r="D10" s="11"/>
      <c r="E10" s="5">
        <v>15</v>
      </c>
      <c r="F10" s="5">
        <v>20</v>
      </c>
      <c r="G10" s="5">
        <v>16</v>
      </c>
      <c r="H10" s="5">
        <v>16</v>
      </c>
      <c r="I10" s="5">
        <v>32</v>
      </c>
      <c r="J10" s="5">
        <v>32</v>
      </c>
      <c r="K10" s="5">
        <v>32</v>
      </c>
      <c r="L10" s="5">
        <v>32</v>
      </c>
      <c r="M10" s="5">
        <v>20</v>
      </c>
      <c r="N10" s="5">
        <v>20</v>
      </c>
      <c r="O10" s="5">
        <v>32</v>
      </c>
      <c r="P10" s="5">
        <v>32</v>
      </c>
      <c r="Q10" s="5">
        <v>32</v>
      </c>
      <c r="R10" s="5">
        <v>25</v>
      </c>
      <c r="S10" s="5">
        <v>16</v>
      </c>
      <c r="T10" s="5">
        <v>20</v>
      </c>
      <c r="U10" s="5">
        <v>25</v>
      </c>
      <c r="V10" s="5">
        <v>32</v>
      </c>
      <c r="W10" s="5">
        <v>32</v>
      </c>
      <c r="X10" s="5">
        <v>25</v>
      </c>
      <c r="Y10" s="5">
        <v>20</v>
      </c>
      <c r="Z10" s="5">
        <v>20</v>
      </c>
      <c r="AA10" s="5">
        <v>25</v>
      </c>
      <c r="AB10" s="5">
        <v>32</v>
      </c>
      <c r="AC10" s="5">
        <v>32</v>
      </c>
      <c r="AD10" s="5">
        <v>25</v>
      </c>
      <c r="AE10" s="5">
        <v>16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</row>
    <row r="11" spans="1:64" ht="25.65" customHeight="1" thickBot="1" x14ac:dyDescent="0.35">
      <c r="A11" s="13" t="s">
        <v>58</v>
      </c>
      <c r="B11" s="14" t="s">
        <v>60</v>
      </c>
      <c r="C11" s="15">
        <v>78.400000000000006</v>
      </c>
      <c r="D11" s="16"/>
      <c r="E11" s="15" t="s">
        <v>37</v>
      </c>
      <c r="F11" s="15" t="s">
        <v>37</v>
      </c>
      <c r="G11" s="15" t="s">
        <v>37</v>
      </c>
      <c r="H11" s="15" t="s">
        <v>37</v>
      </c>
      <c r="I11" s="15" t="s">
        <v>37</v>
      </c>
      <c r="J11" s="15" t="s">
        <v>37</v>
      </c>
      <c r="K11" s="15" t="s">
        <v>37</v>
      </c>
      <c r="L11" s="15" t="s">
        <v>37</v>
      </c>
      <c r="M11" s="15" t="s">
        <v>37</v>
      </c>
      <c r="N11" s="15" t="s">
        <v>37</v>
      </c>
      <c r="O11" s="15" t="s">
        <v>37</v>
      </c>
      <c r="P11" s="15" t="s">
        <v>37</v>
      </c>
      <c r="Q11" s="15" t="s">
        <v>37</v>
      </c>
      <c r="R11" s="15" t="s">
        <v>37</v>
      </c>
      <c r="S11" s="15" t="s">
        <v>37</v>
      </c>
      <c r="T11" s="15" t="s">
        <v>37</v>
      </c>
      <c r="U11" s="15" t="s">
        <v>37</v>
      </c>
      <c r="V11" s="15" t="s">
        <v>37</v>
      </c>
      <c r="W11" s="15" t="s">
        <v>37</v>
      </c>
      <c r="X11" s="15" t="s">
        <v>37</v>
      </c>
      <c r="Y11" s="15" t="s">
        <v>37</v>
      </c>
      <c r="Z11" s="15" t="s">
        <v>37</v>
      </c>
      <c r="AA11" s="15" t="s">
        <v>37</v>
      </c>
      <c r="AB11" s="15" t="s">
        <v>37</v>
      </c>
      <c r="AC11" s="15" t="s">
        <v>37</v>
      </c>
      <c r="AD11" s="15" t="s">
        <v>37</v>
      </c>
      <c r="AE11" s="15" t="s">
        <v>37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</row>
    <row r="12" spans="1:64" ht="31.2" x14ac:dyDescent="0.3">
      <c r="A12" s="13" t="s">
        <v>51</v>
      </c>
      <c r="B12" s="14" t="s">
        <v>3</v>
      </c>
      <c r="C12" s="15" t="s">
        <v>29</v>
      </c>
      <c r="D12" s="16" t="s">
        <v>30</v>
      </c>
      <c r="E12" s="15" t="s">
        <v>71</v>
      </c>
      <c r="F12" s="15" t="s">
        <v>74</v>
      </c>
      <c r="G12" s="15" t="s">
        <v>123</v>
      </c>
      <c r="H12" s="15" t="s">
        <v>71</v>
      </c>
      <c r="I12" s="15" t="s">
        <v>74</v>
      </c>
      <c r="J12" s="15" t="s">
        <v>74</v>
      </c>
      <c r="K12" s="15" t="s">
        <v>74</v>
      </c>
      <c r="L12" s="15" t="s">
        <v>74</v>
      </c>
      <c r="M12" s="15" t="s">
        <v>74</v>
      </c>
      <c r="N12" s="15" t="s">
        <v>123</v>
      </c>
      <c r="O12" s="15" t="s">
        <v>74</v>
      </c>
      <c r="P12" s="15" t="s">
        <v>74</v>
      </c>
      <c r="Q12" s="15" t="s">
        <v>74</v>
      </c>
      <c r="R12" s="15" t="s">
        <v>74</v>
      </c>
      <c r="S12" s="15" t="s">
        <v>74</v>
      </c>
      <c r="T12" s="15" t="s">
        <v>123</v>
      </c>
      <c r="U12" s="15" t="s">
        <v>74</v>
      </c>
      <c r="V12" s="15" t="s">
        <v>74</v>
      </c>
      <c r="W12" s="15" t="s">
        <v>74</v>
      </c>
      <c r="X12" s="15" t="s">
        <v>74</v>
      </c>
      <c r="Y12" s="15" t="s">
        <v>74</v>
      </c>
      <c r="Z12" s="15" t="s">
        <v>123</v>
      </c>
      <c r="AA12" s="15" t="s">
        <v>74</v>
      </c>
      <c r="AB12" s="15" t="s">
        <v>74</v>
      </c>
      <c r="AC12" s="15" t="s">
        <v>74</v>
      </c>
      <c r="AD12" s="15" t="s">
        <v>74</v>
      </c>
      <c r="AE12" s="15" t="s">
        <v>74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</row>
    <row r="13" spans="1:64" ht="25.35" customHeight="1" thickBot="1" x14ac:dyDescent="0.35">
      <c r="A13" s="17" t="s">
        <v>54</v>
      </c>
      <c r="B13" s="18" t="s">
        <v>55</v>
      </c>
      <c r="C13" s="12" t="s">
        <v>57</v>
      </c>
      <c r="D13" s="19"/>
      <c r="E13" s="12" t="s">
        <v>56</v>
      </c>
      <c r="F13" s="12" t="s">
        <v>56</v>
      </c>
      <c r="G13" s="12" t="s">
        <v>56</v>
      </c>
      <c r="H13" s="12" t="s">
        <v>56</v>
      </c>
      <c r="I13" s="12" t="s">
        <v>56</v>
      </c>
      <c r="J13" s="12" t="s">
        <v>56</v>
      </c>
      <c r="K13" s="12" t="s">
        <v>56</v>
      </c>
      <c r="L13" s="12" t="s">
        <v>56</v>
      </c>
      <c r="M13" s="12" t="s">
        <v>56</v>
      </c>
      <c r="N13" s="12" t="s">
        <v>56</v>
      </c>
      <c r="O13" s="12" t="s">
        <v>56</v>
      </c>
      <c r="P13" s="12" t="s">
        <v>56</v>
      </c>
      <c r="Q13" s="12" t="s">
        <v>56</v>
      </c>
      <c r="R13" s="12" t="s">
        <v>56</v>
      </c>
      <c r="S13" s="12" t="s">
        <v>56</v>
      </c>
      <c r="T13" s="12" t="s">
        <v>56</v>
      </c>
      <c r="U13" s="12" t="s">
        <v>56</v>
      </c>
      <c r="V13" s="12" t="s">
        <v>56</v>
      </c>
      <c r="W13" s="12" t="s">
        <v>56</v>
      </c>
      <c r="X13" s="12" t="s">
        <v>56</v>
      </c>
      <c r="Y13" s="12" t="s">
        <v>56</v>
      </c>
      <c r="Z13" s="12" t="s">
        <v>56</v>
      </c>
      <c r="AA13" s="12" t="s">
        <v>56</v>
      </c>
      <c r="AB13" s="12" t="s">
        <v>56</v>
      </c>
      <c r="AC13" s="12" t="s">
        <v>56</v>
      </c>
      <c r="AD13" s="12" t="s">
        <v>56</v>
      </c>
      <c r="AE13" s="12" t="s">
        <v>56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</row>
    <row r="14" spans="1:64" ht="25.35" customHeight="1" thickBot="1" x14ac:dyDescent="0.35">
      <c r="A14" s="17" t="s">
        <v>524</v>
      </c>
      <c r="B14" s="18" t="s">
        <v>55</v>
      </c>
      <c r="C14" s="12"/>
      <c r="D14" s="19"/>
      <c r="E14" s="9" t="s">
        <v>463</v>
      </c>
      <c r="F14" s="9" t="s">
        <v>463</v>
      </c>
      <c r="G14" s="9" t="s">
        <v>485</v>
      </c>
      <c r="H14" s="9" t="s">
        <v>485</v>
      </c>
      <c r="I14" s="9" t="s">
        <v>485</v>
      </c>
      <c r="J14" s="9" t="s">
        <v>485</v>
      </c>
      <c r="K14" s="9" t="s">
        <v>485</v>
      </c>
      <c r="L14" s="9" t="s">
        <v>485</v>
      </c>
      <c r="M14" s="9" t="s">
        <v>485</v>
      </c>
      <c r="N14" s="9" t="s">
        <v>464</v>
      </c>
      <c r="O14" s="9" t="s">
        <v>464</v>
      </c>
      <c r="P14" s="9" t="s">
        <v>464</v>
      </c>
      <c r="Q14" s="9" t="s">
        <v>464</v>
      </c>
      <c r="R14" s="9" t="s">
        <v>464</v>
      </c>
      <c r="S14" s="9" t="s">
        <v>464</v>
      </c>
      <c r="T14" s="22" t="s">
        <v>485</v>
      </c>
      <c r="U14" s="23" t="s">
        <v>485</v>
      </c>
      <c r="V14" s="23" t="s">
        <v>485</v>
      </c>
      <c r="W14" s="23" t="s">
        <v>485</v>
      </c>
      <c r="X14" s="23" t="s">
        <v>485</v>
      </c>
      <c r="Y14" s="23" t="s">
        <v>485</v>
      </c>
      <c r="Z14" s="23" t="s">
        <v>464</v>
      </c>
      <c r="AA14" s="23" t="s">
        <v>464</v>
      </c>
      <c r="AB14" s="23" t="s">
        <v>464</v>
      </c>
      <c r="AC14" s="23" t="s">
        <v>464</v>
      </c>
      <c r="AD14" s="23" t="s">
        <v>464</v>
      </c>
      <c r="AE14" s="23" t="s">
        <v>464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</row>
    <row r="15" spans="1:64" s="51" customFormat="1" ht="62.4" x14ac:dyDescent="0.3">
      <c r="A15" s="47" t="s">
        <v>552</v>
      </c>
      <c r="B15" s="48" t="s">
        <v>60</v>
      </c>
      <c r="C15" s="49"/>
      <c r="D15" s="50" t="s">
        <v>556</v>
      </c>
      <c r="E15" s="51">
        <f>61980/2</f>
        <v>30990</v>
      </c>
      <c r="F15" s="51">
        <f>87980/2</f>
        <v>43990</v>
      </c>
      <c r="G15" s="51">
        <f>80980/2</f>
        <v>40490</v>
      </c>
      <c r="I15" s="51">
        <f>97280/2</f>
        <v>48640</v>
      </c>
      <c r="J15" s="51">
        <f>109280/2</f>
        <v>54640</v>
      </c>
      <c r="K15" s="51">
        <f>115280/2</f>
        <v>57640</v>
      </c>
      <c r="L15" s="51">
        <f>117280/2</f>
        <v>58640</v>
      </c>
      <c r="M15" s="51">
        <f>115280/2</f>
        <v>57640</v>
      </c>
      <c r="N15" s="51">
        <f>73380/2</f>
        <v>36690</v>
      </c>
      <c r="O15" s="51">
        <f>91780/2</f>
        <v>45890</v>
      </c>
      <c r="P15" s="51">
        <f>107580/2</f>
        <v>53790</v>
      </c>
      <c r="Q15" s="51">
        <f>112080/2</f>
        <v>56040</v>
      </c>
      <c r="R15" s="51">
        <f>113580/2</f>
        <v>56790</v>
      </c>
      <c r="S15" s="51">
        <f>112080/2</f>
        <v>56040</v>
      </c>
      <c r="T15" s="2">
        <f>89180/2</f>
        <v>44590</v>
      </c>
      <c r="U15" s="51">
        <f>107680/2</f>
        <v>53840</v>
      </c>
      <c r="V15" s="51">
        <f>121280/2</f>
        <v>60640</v>
      </c>
      <c r="W15" s="2">
        <f>127780/2</f>
        <v>63890</v>
      </c>
      <c r="X15" s="2">
        <f>129780/2</f>
        <v>64890</v>
      </c>
      <c r="Y15" s="51">
        <f>127780/2</f>
        <v>63890</v>
      </c>
      <c r="Z15" s="2">
        <f>81580/2</f>
        <v>40790</v>
      </c>
      <c r="AA15" s="2">
        <f>102180/2</f>
        <v>51090</v>
      </c>
      <c r="AB15" s="51">
        <f>119580/2</f>
        <v>59790</v>
      </c>
      <c r="AC15" s="51">
        <f>124580/2</f>
        <v>62290</v>
      </c>
      <c r="AE15" s="51">
        <f>124580/2</f>
        <v>62290</v>
      </c>
    </row>
    <row r="16" spans="1:64" x14ac:dyDescent="0.3">
      <c r="A16" s="24"/>
    </row>
    <row r="17" spans="1:1" x14ac:dyDescent="0.3">
      <c r="A17" s="24"/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01A9-3653-4C55-BE38-1F4E2BEE205E}">
  <dimension ref="A2:M10"/>
  <sheetViews>
    <sheetView tabSelected="1" workbookViewId="0">
      <selection activeCell="I11" sqref="I11"/>
    </sheetView>
  </sheetViews>
  <sheetFormatPr defaultRowHeight="16.2" x14ac:dyDescent="0.3"/>
  <cols>
    <col min="1" max="2" width="16.21875" customWidth="1"/>
    <col min="3" max="4" width="16.21875" hidden="1" customWidth="1"/>
    <col min="5" max="10" width="15.5546875" bestFit="1" customWidth="1"/>
    <col min="11" max="13" width="16.6640625" bestFit="1" customWidth="1"/>
  </cols>
  <sheetData>
    <row r="2" spans="1:13" x14ac:dyDescent="0.3">
      <c r="A2" s="65" t="s">
        <v>634</v>
      </c>
      <c r="B2" s="65"/>
      <c r="C2" s="65"/>
      <c r="D2" s="65"/>
      <c r="E2" s="12" t="s">
        <v>635</v>
      </c>
      <c r="F2" s="12" t="s">
        <v>635</v>
      </c>
      <c r="G2" s="12" t="s">
        <v>635</v>
      </c>
      <c r="H2" s="12" t="s">
        <v>635</v>
      </c>
      <c r="I2" s="12" t="s">
        <v>635</v>
      </c>
      <c r="J2" s="12" t="s">
        <v>635</v>
      </c>
      <c r="K2" s="12" t="s">
        <v>635</v>
      </c>
      <c r="L2" s="12" t="s">
        <v>635</v>
      </c>
      <c r="M2" s="12" t="s">
        <v>635</v>
      </c>
    </row>
    <row r="3" spans="1:13" x14ac:dyDescent="0.3">
      <c r="A3" s="65" t="s">
        <v>605</v>
      </c>
      <c r="B3" s="65" t="s">
        <v>55</v>
      </c>
      <c r="C3" s="65"/>
      <c r="D3" s="65"/>
      <c r="E3" s="12" t="s">
        <v>637</v>
      </c>
      <c r="F3" s="12" t="s">
        <v>638</v>
      </c>
      <c r="G3" s="12" t="s">
        <v>639</v>
      </c>
      <c r="H3" s="12" t="s">
        <v>640</v>
      </c>
      <c r="I3" s="12" t="s">
        <v>641</v>
      </c>
      <c r="J3" s="12" t="s">
        <v>642</v>
      </c>
      <c r="K3" s="12" t="s">
        <v>643</v>
      </c>
      <c r="L3" s="12" t="s">
        <v>644</v>
      </c>
      <c r="M3" s="12" t="s">
        <v>645</v>
      </c>
    </row>
    <row r="4" spans="1:13" ht="31.2" x14ac:dyDescent="0.3">
      <c r="A4" s="65" t="s">
        <v>636</v>
      </c>
      <c r="B4" s="65" t="s">
        <v>60</v>
      </c>
      <c r="C4" s="65"/>
      <c r="D4" s="65"/>
      <c r="E4" s="12">
        <v>150</v>
      </c>
      <c r="F4" s="12">
        <v>250</v>
      </c>
      <c r="G4" s="12">
        <v>350</v>
      </c>
      <c r="H4" s="12">
        <v>500</v>
      </c>
      <c r="I4" s="12">
        <v>650</v>
      </c>
      <c r="J4" s="12">
        <v>800</v>
      </c>
      <c r="K4" s="12">
        <v>1000</v>
      </c>
      <c r="L4" s="12">
        <v>1500</v>
      </c>
      <c r="M4" s="12">
        <v>2000</v>
      </c>
    </row>
    <row r="5" spans="1:13" x14ac:dyDescent="0.3">
      <c r="A5" s="65" t="s">
        <v>646</v>
      </c>
      <c r="B5" s="65" t="s">
        <v>55</v>
      </c>
      <c r="C5" s="65"/>
      <c r="D5" s="65"/>
      <c r="E5" s="12" t="s">
        <v>536</v>
      </c>
      <c r="F5" s="12" t="s">
        <v>536</v>
      </c>
      <c r="G5" s="12" t="s">
        <v>536</v>
      </c>
      <c r="H5" s="12" t="s">
        <v>536</v>
      </c>
      <c r="I5" s="12" t="s">
        <v>536</v>
      </c>
      <c r="J5" s="12" t="s">
        <v>536</v>
      </c>
      <c r="K5" s="12" t="s">
        <v>536</v>
      </c>
      <c r="L5" s="12" t="s">
        <v>536</v>
      </c>
      <c r="M5" s="12" t="s">
        <v>536</v>
      </c>
    </row>
    <row r="6" spans="1:13" x14ac:dyDescent="0.3">
      <c r="A6" s="65" t="s">
        <v>48</v>
      </c>
      <c r="B6" s="65" t="s">
        <v>55</v>
      </c>
      <c r="C6" s="65"/>
      <c r="D6" s="65"/>
      <c r="E6" s="64" t="s">
        <v>9</v>
      </c>
      <c r="F6" s="64" t="s">
        <v>9</v>
      </c>
      <c r="G6" s="64" t="s">
        <v>9</v>
      </c>
      <c r="H6" s="64" t="s">
        <v>9</v>
      </c>
      <c r="I6" s="64" t="s">
        <v>9</v>
      </c>
      <c r="J6" s="64" t="s">
        <v>9</v>
      </c>
      <c r="K6" s="64" t="s">
        <v>9</v>
      </c>
      <c r="L6" s="64" t="s">
        <v>9</v>
      </c>
      <c r="M6" s="64" t="s">
        <v>9</v>
      </c>
    </row>
    <row r="7" spans="1:13" ht="31.8" thickBot="1" x14ac:dyDescent="0.35">
      <c r="A7" s="65" t="s">
        <v>47</v>
      </c>
      <c r="B7" s="65" t="s">
        <v>60</v>
      </c>
      <c r="C7" s="65"/>
      <c r="D7" s="65"/>
      <c r="E7" s="12">
        <f>0.03*2</f>
        <v>0.06</v>
      </c>
      <c r="F7" s="12">
        <f>0.03*2</f>
        <v>0.06</v>
      </c>
      <c r="G7" s="12">
        <f>0.06*2</f>
        <v>0.12</v>
      </c>
      <c r="H7" s="12">
        <f>0.1*2</f>
        <v>0.2</v>
      </c>
      <c r="I7" s="12">
        <f>0.17*2</f>
        <v>0.34</v>
      </c>
      <c r="J7" s="12">
        <f>0.19*2</f>
        <v>0.38</v>
      </c>
      <c r="K7" s="12">
        <f>0.19*2</f>
        <v>0.38</v>
      </c>
      <c r="L7" s="12">
        <f>0.19*4</f>
        <v>0.76</v>
      </c>
      <c r="M7" s="12">
        <f>0.19*4</f>
        <v>0.76</v>
      </c>
    </row>
    <row r="8" spans="1:13" x14ac:dyDescent="0.3">
      <c r="A8" s="65" t="s">
        <v>647</v>
      </c>
      <c r="B8" s="65" t="s">
        <v>55</v>
      </c>
      <c r="C8" s="65"/>
      <c r="D8" s="65"/>
      <c r="E8" s="15" t="s">
        <v>648</v>
      </c>
      <c r="F8" s="15" t="s">
        <v>648</v>
      </c>
      <c r="G8" s="15" t="s">
        <v>649</v>
      </c>
      <c r="H8" s="15" t="s">
        <v>650</v>
      </c>
      <c r="I8" s="15" t="s">
        <v>650</v>
      </c>
      <c r="J8" s="15" t="s">
        <v>651</v>
      </c>
      <c r="K8" s="15" t="s">
        <v>651</v>
      </c>
      <c r="L8" s="15" t="s">
        <v>652</v>
      </c>
      <c r="M8" s="15" t="s">
        <v>652</v>
      </c>
    </row>
    <row r="9" spans="1:13" x14ac:dyDescent="0.3">
      <c r="A9" s="66" t="s">
        <v>552</v>
      </c>
      <c r="B9" s="65" t="s">
        <v>60</v>
      </c>
      <c r="C9" s="66"/>
      <c r="D9" s="66"/>
      <c r="E9" s="49">
        <v>50000</v>
      </c>
      <c r="F9" s="49">
        <v>60000</v>
      </c>
      <c r="G9" s="49">
        <v>70000</v>
      </c>
      <c r="H9" s="49">
        <v>80000</v>
      </c>
      <c r="I9" s="49">
        <v>50000</v>
      </c>
      <c r="J9" s="49">
        <v>50000</v>
      </c>
      <c r="K9" s="49">
        <v>50000</v>
      </c>
      <c r="L9" s="49">
        <v>50000</v>
      </c>
      <c r="M9" s="49">
        <v>50000</v>
      </c>
    </row>
    <row r="10" spans="1:13" x14ac:dyDescent="0.3">
      <c r="A10" s="2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indoor_units</vt:lpstr>
      <vt:lpstr>controller&amp;pipe</vt:lpstr>
      <vt:lpstr>outdoor_units</vt:lpstr>
      <vt:lpstr>indoor_units_SA only</vt:lpstr>
      <vt:lpstr>outdoor_units_SA only</vt:lpstr>
      <vt:lpstr>HRV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宇涵 黃</dc:creator>
  <cp:lastModifiedBy>宇涵 黃</cp:lastModifiedBy>
  <dcterms:created xsi:type="dcterms:W3CDTF">2026-07-12T13:11:52Z</dcterms:created>
  <dcterms:modified xsi:type="dcterms:W3CDTF">2026-10-18T13:44:01Z</dcterms:modified>
</cp:coreProperties>
</file>