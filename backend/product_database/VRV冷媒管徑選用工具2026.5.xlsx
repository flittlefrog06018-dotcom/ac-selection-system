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618alice\Desktop\"/>
    </mc:Choice>
  </mc:AlternateContent>
  <xr:revisionPtr revIDLastSave="0" documentId="13_ncr:1_{ACB4546C-02F2-4444-B25A-641E6240B862}" xr6:coauthVersionLast="36" xr6:coauthVersionMax="47" xr10:uidLastSave="{00000000-0000-0000-0000-000000000000}"/>
  <bookViews>
    <workbookView xWindow="0" yWindow="0" windowWidth="19212" windowHeight="8508" tabRatio="649" xr2:uid="{00000000-000D-0000-FFFF-FFFF00000000}"/>
  </bookViews>
  <sheets>
    <sheet name="上吹型VRV管路選用表(計算工具)" sheetId="32" r:id="rId1"/>
    <sheet name="側吹型VRV-S管路選用表(計算工具)" sheetId="35" r:id="rId2"/>
  </sheets>
  <externalReferences>
    <externalReference r:id="rId3"/>
    <externalReference r:id="rId4"/>
    <externalReference r:id="rId5"/>
    <externalReference r:id="rId6"/>
  </externalReferences>
  <definedNames>
    <definedName name="\a" localSheetId="0">#REF!</definedName>
    <definedName name="\a" localSheetId="1">#REF!</definedName>
    <definedName name="\a">#REF!</definedName>
    <definedName name="\b" localSheetId="0">#REF!</definedName>
    <definedName name="\b" localSheetId="1">#REF!</definedName>
    <definedName name="\b">#REF!</definedName>
    <definedName name="\d" localSheetId="0">#REF!</definedName>
    <definedName name="\d" localSheetId="1">#REF!</definedName>
    <definedName name="\d">#REF!</definedName>
    <definedName name="\e" localSheetId="0">#REF!</definedName>
    <definedName name="\e" localSheetId="1">#REF!</definedName>
    <definedName name="\e">#REF!</definedName>
    <definedName name="\f" localSheetId="0">#REF!</definedName>
    <definedName name="\f" localSheetId="1">#REF!</definedName>
    <definedName name="\f">#REF!</definedName>
    <definedName name="\g" localSheetId="0">#REF!</definedName>
    <definedName name="\g" localSheetId="1">#REF!</definedName>
    <definedName name="\g">#REF!</definedName>
    <definedName name="\h" localSheetId="0">#REF!</definedName>
    <definedName name="\h" localSheetId="1">#REF!</definedName>
    <definedName name="\h">#REF!</definedName>
    <definedName name="\z">#N/A</definedName>
    <definedName name="_0" localSheetId="0">#REF!</definedName>
    <definedName name="_0" localSheetId="1">#REF!</definedName>
    <definedName name="_0">#REF!</definedName>
    <definedName name="_Fill" localSheetId="0" hidden="1">#REF!</definedName>
    <definedName name="_Fill" localSheetId="1" hidden="1">#REF!</definedName>
    <definedName name="_Fill" hidden="1">#REF!</definedName>
    <definedName name="B">#N/A</definedName>
    <definedName name="CURRENT" localSheetId="0">#REF!</definedName>
    <definedName name="CURRENT" localSheetId="1">#REF!</definedName>
    <definedName name="CURRENT">#REF!</definedName>
    <definedName name="D" localSheetId="0">#REF!</definedName>
    <definedName name="D" localSheetId="1">#REF!</definedName>
    <definedName name="D">#REF!</definedName>
    <definedName name="_xlnm.Database" localSheetId="0">#REF!</definedName>
    <definedName name="_xlnm.Database" localSheetId="1">#REF!</definedName>
    <definedName name="_xlnm.Database">#REF!</definedName>
    <definedName name="E" localSheetId="0">#REF!</definedName>
    <definedName name="E" localSheetId="1">#REF!</definedName>
    <definedName name="E">#REF!</definedName>
    <definedName name="EUGENE" localSheetId="0">#REF!</definedName>
    <definedName name="EUGENE" localSheetId="1">#REF!</definedName>
    <definedName name="EUGENE">#REF!</definedName>
    <definedName name="F" localSheetId="0">#REF!</definedName>
    <definedName name="F" localSheetId="1">#REF!</definedName>
    <definedName name="F">#REF!</definedName>
    <definedName name="GPROFIT" localSheetId="0">#REF!</definedName>
    <definedName name="GPROFIT" localSheetId="1">#REF!</definedName>
    <definedName name="GPROFIT">#REF!</definedName>
    <definedName name="Heater_FCU">[1]Heater!$A$2:$J$261</definedName>
    <definedName name="Last_refreshed">[2]Sheet1!$K$2</definedName>
    <definedName name="MIXAVG" localSheetId="0">#REF!</definedName>
    <definedName name="MIXAVG" localSheetId="1">#REF!</definedName>
    <definedName name="MIXAVG">#REF!</definedName>
    <definedName name="MIXSUMMARY" localSheetId="0">#REF!</definedName>
    <definedName name="MIXSUMMARY" localSheetId="1">#REF!</definedName>
    <definedName name="MIXSUMMARY">#REF!</definedName>
    <definedName name="OHRATE" localSheetId="0">#REF!</definedName>
    <definedName name="OHRATE" localSheetId="1">#REF!</definedName>
    <definedName name="OHRATE">#REF!</definedName>
    <definedName name="PLVAR" localSheetId="0">#REF!</definedName>
    <definedName name="PLVAR" localSheetId="1">#REF!</definedName>
    <definedName name="PLVAR">#REF!</definedName>
    <definedName name="PRDVAR" localSheetId="0">#REF!</definedName>
    <definedName name="PRDVAR" localSheetId="1">#REF!</definedName>
    <definedName name="PRDVAR">#REF!</definedName>
    <definedName name="_xlnm.Print_Area" localSheetId="0">'上吹型VRV管路選用表(計算工具)'!$A$1:$S$84</definedName>
    <definedName name="_xlnm.Print_Area" localSheetId="1">'側吹型VRV-S管路選用表(計算工具)'!$A$1:$S$77</definedName>
    <definedName name="_xlnm.Print_Area">#REF!</definedName>
    <definedName name="Print_Area_MI" localSheetId="0">#REF!</definedName>
    <definedName name="Print_Area_MI" localSheetId="1">#REF!</definedName>
    <definedName name="Print_Area_MI">#REF!</definedName>
    <definedName name="PRINT_AREA_MI1" localSheetId="0">#REF!</definedName>
    <definedName name="PRINT_AREA_MI1" localSheetId="1">#REF!</definedName>
    <definedName name="PRINT_AREA_MI1">#REF!</definedName>
    <definedName name="Print_Titles_MI" localSheetId="0">#REF!,#REF!</definedName>
    <definedName name="Print_Titles_MI" localSheetId="1">#REF!,#REF!</definedName>
    <definedName name="Print_Titles_MI">#REF!,#REF!</definedName>
    <definedName name="PRODU" localSheetId="0">#REF!</definedName>
    <definedName name="PRODU" localSheetId="1">#REF!</definedName>
    <definedName name="PRODU">#REF!</definedName>
    <definedName name="RMPUR" localSheetId="0">#REF!</definedName>
    <definedName name="RMPUR" localSheetId="1">#REF!</definedName>
    <definedName name="RMPUR">#REF!</definedName>
    <definedName name="SALES_UNIT" localSheetId="0">#REF!</definedName>
    <definedName name="SALES_UNIT" localSheetId="1">#REF!</definedName>
    <definedName name="SALES_UNIT">#REF!</definedName>
    <definedName name="SALESD" localSheetId="0">#REF!</definedName>
    <definedName name="SALESD" localSheetId="1">#REF!</definedName>
    <definedName name="SALESD">#REF!</definedName>
    <definedName name="SALESU" localSheetId="0">#REF!</definedName>
    <definedName name="SALESU" localSheetId="1">#REF!</definedName>
    <definedName name="SALESU">#REF!</definedName>
    <definedName name="STANDARD_COST" localSheetId="0">#REF!</definedName>
    <definedName name="STANDARD_COST" localSheetId="1">#REF!</definedName>
    <definedName name="STANDARD_COST">#REF!</definedName>
    <definedName name="STDGP" localSheetId="0">#REF!</definedName>
    <definedName name="STDGP" localSheetId="1">#REF!</definedName>
    <definedName name="STDGP">#REF!</definedName>
    <definedName name="TINA" localSheetId="0">#REF!</definedName>
    <definedName name="TINA" localSheetId="1">#REF!</definedName>
    <definedName name="TINA">#REF!</definedName>
    <definedName name="YTD" localSheetId="0">#REF!</definedName>
    <definedName name="YTD" localSheetId="1">#REF!</definedName>
    <definedName name="YTD">#REF!</definedName>
    <definedName name="乙" localSheetId="0">#REF!</definedName>
    <definedName name="乙" localSheetId="1">#REF!</definedName>
    <definedName name="乙">#REF!</definedName>
    <definedName name="乙一" localSheetId="0">#REF!</definedName>
    <definedName name="乙一" localSheetId="1">#REF!</definedName>
    <definedName name="乙一">#REF!</definedName>
    <definedName name="乙二" localSheetId="0">#REF!</definedName>
    <definedName name="乙二" localSheetId="1">#REF!</definedName>
    <definedName name="乙二">#REF!</definedName>
    <definedName name="丙" localSheetId="0">#REF!</definedName>
    <definedName name="丙" localSheetId="1">#REF!</definedName>
    <definedName name="丙">#REF!</definedName>
    <definedName name="丙一" localSheetId="0">#REF!</definedName>
    <definedName name="丙一" localSheetId="1">#REF!</definedName>
    <definedName name="丙一">#REF!</definedName>
    <definedName name="丙一A" localSheetId="0">#REF!</definedName>
    <definedName name="丙一A" localSheetId="1">#REF!</definedName>
    <definedName name="丙一A">#REF!</definedName>
    <definedName name="丙一B" localSheetId="0">#REF!</definedName>
    <definedName name="丙一B" localSheetId="1">#REF!</definedName>
    <definedName name="丙一B">#REF!</definedName>
    <definedName name="丙七" localSheetId="0">#REF!</definedName>
    <definedName name="丙七" localSheetId="1">#REF!</definedName>
    <definedName name="丙七">#REF!</definedName>
    <definedName name="丙二" localSheetId="0">#REF!</definedName>
    <definedName name="丙二" localSheetId="1">#REF!</definedName>
    <definedName name="丙二">#REF!</definedName>
    <definedName name="丙三" localSheetId="0">#REF!</definedName>
    <definedName name="丙三" localSheetId="1">#REF!</definedName>
    <definedName name="丙三">#REF!</definedName>
    <definedName name="丙五" localSheetId="0">#REF!</definedName>
    <definedName name="丙五" localSheetId="1">#REF!</definedName>
    <definedName name="丙五">#REF!</definedName>
    <definedName name="丙六" localSheetId="0">#REF!</definedName>
    <definedName name="丙六" localSheetId="1">#REF!</definedName>
    <definedName name="丙六">#REF!</definedName>
    <definedName name="丙四" localSheetId="0">#REF!</definedName>
    <definedName name="丙四" localSheetId="1">#REF!</definedName>
    <definedName name="丙四">#REF!</definedName>
    <definedName name="出差前所需填寫文件">[3]首頁!$C$6:$C$9</definedName>
    <definedName name="功因計算用電基本數據" localSheetId="0">#REF!</definedName>
    <definedName name="功因計算用電基本數據" localSheetId="1">#REF!</definedName>
    <definedName name="功因計算用電基本數據">#REF!</definedName>
    <definedName name="功因計算基本電費" localSheetId="0">#REF!</definedName>
    <definedName name="功因計算基本電費" localSheetId="1">#REF!</definedName>
    <definedName name="功因計算基本電費">#REF!</definedName>
    <definedName name="加濕器是否判斷">[4]系統操作畫面!$W$2</definedName>
    <definedName name="甲" localSheetId="0">#REF!</definedName>
    <definedName name="甲" localSheetId="1">#REF!</definedName>
    <definedName name="甲">#REF!</definedName>
    <definedName name="甲一" localSheetId="0">#REF!</definedName>
    <definedName name="甲一" localSheetId="1">#REF!</definedName>
    <definedName name="甲一">#REF!</definedName>
    <definedName name="甲一A" localSheetId="0">#REF!</definedName>
    <definedName name="甲一A" localSheetId="1">#REF!</definedName>
    <definedName name="甲一A">#REF!</definedName>
    <definedName name="甲一B" localSheetId="0">#REF!</definedName>
    <definedName name="甲一B" localSheetId="1">#REF!</definedName>
    <definedName name="甲一B">#REF!</definedName>
    <definedName name="甲一C" localSheetId="0">#REF!</definedName>
    <definedName name="甲一C" localSheetId="1">#REF!</definedName>
    <definedName name="甲一C">#REF!</definedName>
    <definedName name="甲二" localSheetId="0">#REF!</definedName>
    <definedName name="甲二" localSheetId="1">#REF!</definedName>
    <definedName name="甲二">#REF!</definedName>
    <definedName name="甲二A" localSheetId="0">#REF!</definedName>
    <definedName name="甲二A" localSheetId="1">#REF!</definedName>
    <definedName name="甲二A">#REF!</definedName>
    <definedName name="甲二B" localSheetId="0">#REF!</definedName>
    <definedName name="甲二B" localSheetId="1">#REF!</definedName>
    <definedName name="甲二B">#REF!</definedName>
    <definedName name="甲三" localSheetId="0">#REF!</definedName>
    <definedName name="甲三" localSheetId="1">#REF!</definedName>
    <definedName name="甲三">#REF!</definedName>
    <definedName name="甲三A" localSheetId="0">#REF!</definedName>
    <definedName name="甲三A" localSheetId="1">#REF!</definedName>
    <definedName name="甲三A">#REF!</definedName>
    <definedName name="甲三B" localSheetId="0">#REF!</definedName>
    <definedName name="甲三B" localSheetId="1">#REF!</definedName>
    <definedName name="甲三B">#REF!</definedName>
    <definedName name="甲三C" localSheetId="0">#REF!</definedName>
    <definedName name="甲三C" localSheetId="1">#REF!</definedName>
    <definedName name="甲三C">#REF!</definedName>
    <definedName name="全年用電總電費" localSheetId="0">#REF!</definedName>
    <definedName name="全年用電總電費" localSheetId="1">#REF!</definedName>
    <definedName name="全年用電總電費">#REF!</definedName>
    <definedName name="全年電費用電基本數據" localSheetId="0">#REF!</definedName>
    <definedName name="全年電費用電基本數據" localSheetId="1">#REF!</definedName>
    <definedName name="全年電費用電基本數據">#REF!</definedName>
    <definedName name="冰機最小負載率" localSheetId="0">#REF!</definedName>
    <definedName name="冰機最小負載率" localSheetId="1">#REF!</definedName>
    <definedName name="冰機最小負載率">#REF!</definedName>
    <definedName name="尖峰最高需量" localSheetId="0">#REF!</definedName>
    <definedName name="尖峰最高需量" localSheetId="1">#REF!</definedName>
    <definedName name="尖峰最高需量">#REF!</definedName>
    <definedName name="冷卻水塔水質控制雖有加藥但排放標準偏低">[4]系統操作畫面!$V$6</definedName>
    <definedName name="冷卻水塔風車雖裝設變頻器或者台數控制是否操作得宜">[4]系統操作畫面!$V$5</definedName>
    <definedName name="契約型式序號">'[4]摘要一(總體效益)'!$V$27</definedName>
    <definedName name="契約計算基本電費" localSheetId="0">#REF!</definedName>
    <definedName name="契約計算基本電費" localSheetId="1">#REF!</definedName>
    <definedName name="契約計算基本電費">#REF!</definedName>
    <definedName name="是否冰機有熱水回收器">[4]系統操作畫面!$V$7</definedName>
    <definedName name="是否有備用閒置水塔可供合併使用">[4]系統操作畫面!$V$3</definedName>
    <definedName name="是否冷卻水塔風車裝設變頻器">[4]系統操作畫面!$V$4</definedName>
    <definedName name="租用車輛名稱">[3]訪測車輛申請單!$F$12:$F$13</definedName>
    <definedName name="現有鍋爐是否判斷">[4]系統操作畫面!$W$3</definedName>
    <definedName name="郵遞區號">'[4]摘要一(總體效益)'!$U$4:$U$22</definedName>
    <definedName name="電壓型式">'[4]摘要一(總體效益)'!$V$25</definedName>
    <definedName name="實際負載散熱是否比冷卻水塔額定散熱小很多">[4]系統操作畫面!$V$2</definedName>
    <definedName name="實際負載最高散熱需量是否比冷卻水塔額定散熱能力小很多">[4]系統操作畫面!$V$2</definedName>
    <definedName name="儀器申請使用單">[3]首頁!$C$6:$C$9</definedName>
    <definedName name="儀器名稱">[3]儀器使用申請單!$P$10:$R$18</definedName>
    <definedName name="廠商地址一">'[4]摘要一(總體效益)'!$T$4:$T$22</definedName>
    <definedName name="廠商地址序號">'[4]摘要一(總體效益)'!$V$4</definedName>
    <definedName name="離心式冰水主機">"群組 877"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4" i="35" l="1"/>
  <c r="Q25" i="35"/>
  <c r="Q26" i="35"/>
  <c r="Q27" i="35"/>
  <c r="Q28" i="35"/>
  <c r="Q29" i="35"/>
  <c r="Q30" i="35"/>
  <c r="Q31" i="35"/>
  <c r="Q32" i="35"/>
  <c r="Q33" i="35"/>
  <c r="Q34" i="35"/>
  <c r="Q35" i="35"/>
  <c r="Q23" i="35"/>
  <c r="P35" i="35"/>
  <c r="P24" i="35"/>
  <c r="P25" i="35"/>
  <c r="P26" i="35"/>
  <c r="P27" i="35"/>
  <c r="P28" i="35"/>
  <c r="P29" i="35"/>
  <c r="P30" i="35"/>
  <c r="P31" i="35"/>
  <c r="P32" i="35"/>
  <c r="P33" i="35"/>
  <c r="P34" i="35"/>
  <c r="P23" i="35"/>
  <c r="Q22" i="35"/>
  <c r="P22" i="35"/>
  <c r="D25" i="35" l="1"/>
  <c r="C24" i="35" l="1"/>
  <c r="C22" i="32" l="1"/>
  <c r="C56" i="35" l="1"/>
  <c r="C21" i="35" s="1"/>
  <c r="C60" i="32" l="1"/>
  <c r="C21" i="32" s="1"/>
</calcChain>
</file>

<file path=xl/sharedStrings.xml><?xml version="1.0" encoding="utf-8"?>
<sst xmlns="http://schemas.openxmlformats.org/spreadsheetml/2006/main" count="501" uniqueCount="189">
  <si>
    <t>室外機機型</t>
    <phoneticPr fontId="1" type="noConversion"/>
  </si>
  <si>
    <t>第一分歧頭</t>
    <phoneticPr fontId="1" type="noConversion"/>
  </si>
  <si>
    <t>代號</t>
    <phoneticPr fontId="1" type="noConversion"/>
  </si>
  <si>
    <t>室外機台數</t>
    <phoneticPr fontId="1" type="noConversion"/>
  </si>
  <si>
    <t>分歧頭</t>
    <phoneticPr fontId="1" type="noConversion"/>
  </si>
  <si>
    <t>KHRP26A22T</t>
    <phoneticPr fontId="1" type="noConversion"/>
  </si>
  <si>
    <t>TJ1</t>
    <phoneticPr fontId="1" type="noConversion"/>
  </si>
  <si>
    <t>BHFP22P100</t>
    <phoneticPr fontId="1" type="noConversion"/>
  </si>
  <si>
    <t>TM2</t>
    <phoneticPr fontId="1" type="noConversion"/>
  </si>
  <si>
    <t>KHRP26A33T</t>
    <phoneticPr fontId="1" type="noConversion"/>
  </si>
  <si>
    <t>TJ2</t>
  </si>
  <si>
    <t>BHFP22P151</t>
    <phoneticPr fontId="1" type="noConversion"/>
  </si>
  <si>
    <t>TM3</t>
  </si>
  <si>
    <t>KHRP26A72T</t>
    <phoneticPr fontId="1" type="noConversion"/>
  </si>
  <si>
    <t>TJ3</t>
  </si>
  <si>
    <t>KHRP26A73T+KHRP26M73TP</t>
    <phoneticPr fontId="1" type="noConversion"/>
  </si>
  <si>
    <t>TJ4</t>
  </si>
  <si>
    <t>液管</t>
    <phoneticPr fontId="1" type="noConversion"/>
  </si>
  <si>
    <t>氣管</t>
    <phoneticPr fontId="1" type="noConversion"/>
  </si>
  <si>
    <t>預留套管尺寸(組數)</t>
    <phoneticPr fontId="1" type="noConversion"/>
  </si>
  <si>
    <t>外徑 × 管壁厚度</t>
    <phoneticPr fontId="1" type="noConversion"/>
  </si>
  <si>
    <t>TR2</t>
    <phoneticPr fontId="1" type="noConversion"/>
  </si>
  <si>
    <t>80Ø(3")</t>
    <phoneticPr fontId="1" type="noConversion"/>
  </si>
  <si>
    <t>100Ø(4")</t>
    <phoneticPr fontId="1" type="noConversion"/>
  </si>
  <si>
    <t>125Ø(5")</t>
    <phoneticPr fontId="1" type="noConversion"/>
  </si>
  <si>
    <t>TR3</t>
    <phoneticPr fontId="1" type="noConversion"/>
  </si>
  <si>
    <t>TR4</t>
    <phoneticPr fontId="1" type="noConversion"/>
  </si>
  <si>
    <t>TR5</t>
    <phoneticPr fontId="1" type="noConversion"/>
  </si>
  <si>
    <t>TR6</t>
    <phoneticPr fontId="1" type="noConversion"/>
  </si>
  <si>
    <t>TR7</t>
    <phoneticPr fontId="1" type="noConversion"/>
  </si>
  <si>
    <t>TR8</t>
    <phoneticPr fontId="1" type="noConversion"/>
  </si>
  <si>
    <t>TR9</t>
    <phoneticPr fontId="1" type="noConversion"/>
  </si>
  <si>
    <t>150Ø(6"*3)</t>
    <phoneticPr fontId="1" type="noConversion"/>
  </si>
  <si>
    <t>表5 室內機分支管選用表</t>
    <phoneticPr fontId="1" type="noConversion"/>
  </si>
  <si>
    <t>室內機機型</t>
    <phoneticPr fontId="1" type="noConversion"/>
  </si>
  <si>
    <t>20,25,32,40,50</t>
    <phoneticPr fontId="1" type="noConversion"/>
  </si>
  <si>
    <t>TR1</t>
    <phoneticPr fontId="1" type="noConversion"/>
  </si>
  <si>
    <t>3"</t>
    <phoneticPr fontId="1" type="noConversion"/>
  </si>
  <si>
    <t>預留套管尺寸</t>
    <phoneticPr fontId="1" type="noConversion"/>
  </si>
  <si>
    <t>1組管</t>
    <phoneticPr fontId="1" type="noConversion"/>
  </si>
  <si>
    <t>2組管</t>
    <phoneticPr fontId="1" type="noConversion"/>
  </si>
  <si>
    <t>3組管</t>
    <phoneticPr fontId="1" type="noConversion"/>
  </si>
  <si>
    <t>分歧頭</t>
    <phoneticPr fontId="1" type="noConversion"/>
  </si>
  <si>
    <t>1組</t>
    <phoneticPr fontId="1" type="noConversion"/>
  </si>
  <si>
    <t>2組</t>
    <phoneticPr fontId="1" type="noConversion"/>
  </si>
  <si>
    <t>Ø9.5 × 0.8</t>
    <phoneticPr fontId="1" type="noConversion"/>
  </si>
  <si>
    <t>Ø12.7 × 0.8</t>
    <phoneticPr fontId="1" type="noConversion"/>
  </si>
  <si>
    <t>Ø15.9 × 0.99</t>
    <phoneticPr fontId="1" type="noConversion"/>
  </si>
  <si>
    <t>Ø19.1 × 0.8</t>
    <phoneticPr fontId="1" type="noConversion"/>
  </si>
  <si>
    <t>Ø22.2 × 0.8</t>
    <phoneticPr fontId="1" type="noConversion"/>
  </si>
  <si>
    <t>Ø28.6 × 0.99</t>
    <phoneticPr fontId="1" type="noConversion"/>
  </si>
  <si>
    <t>Ø34.9 × 1.21</t>
    <phoneticPr fontId="1" type="noConversion"/>
  </si>
  <si>
    <t>Ø41.3 × 1.43</t>
    <phoneticPr fontId="1" type="noConversion"/>
  </si>
  <si>
    <t>Ø6.4 × 0.8</t>
    <phoneticPr fontId="1" type="noConversion"/>
  </si>
  <si>
    <t>Ø9.5 × 0.8</t>
    <phoneticPr fontId="1" type="noConversion"/>
  </si>
  <si>
    <t>3組</t>
    <phoneticPr fontId="1" type="noConversion"/>
  </si>
  <si>
    <t>3"</t>
    <phoneticPr fontId="1" type="noConversion"/>
  </si>
  <si>
    <t>套管尺寸</t>
    <phoneticPr fontId="1" type="noConversion"/>
  </si>
  <si>
    <t>Ø41.3 × 1.43</t>
    <phoneticPr fontId="1" type="noConversion"/>
  </si>
  <si>
    <t>4"</t>
    <phoneticPr fontId="1" type="noConversion"/>
  </si>
  <si>
    <t>3"×2</t>
    <phoneticPr fontId="1" type="noConversion"/>
  </si>
  <si>
    <t>150Ø(6"×2)</t>
    <phoneticPr fontId="1" type="noConversion"/>
  </si>
  <si>
    <r>
      <rPr>
        <sz val="14"/>
        <color rgb="FFFF0000"/>
        <rFont val="微軟正黑體"/>
        <family val="2"/>
        <charset val="136"/>
      </rPr>
      <t>150Ø(6")或</t>
    </r>
    <r>
      <rPr>
        <sz val="14"/>
        <rFont val="微軟正黑體"/>
        <family val="2"/>
        <charset val="136"/>
      </rPr>
      <t>(5"×2)</t>
    </r>
    <phoneticPr fontId="1" type="noConversion"/>
  </si>
  <si>
    <r>
      <rPr>
        <sz val="14"/>
        <color rgb="FFFF0000"/>
        <rFont val="微軟正黑體"/>
        <family val="2"/>
        <charset val="136"/>
      </rPr>
      <t>150Ø(6")或</t>
    </r>
    <r>
      <rPr>
        <sz val="14"/>
        <rFont val="微軟正黑體"/>
        <family val="2"/>
        <charset val="136"/>
      </rPr>
      <t>(4"×2)</t>
    </r>
    <phoneticPr fontId="1" type="noConversion"/>
  </si>
  <si>
    <r>
      <rPr>
        <sz val="14"/>
        <color rgb="FFFF0000"/>
        <rFont val="微軟正黑體"/>
        <family val="2"/>
        <charset val="136"/>
      </rPr>
      <t>200Ø(8")或</t>
    </r>
    <r>
      <rPr>
        <sz val="14"/>
        <rFont val="微軟正黑體"/>
        <family val="2"/>
        <charset val="136"/>
      </rPr>
      <t>(4"×3)</t>
    </r>
    <phoneticPr fontId="1" type="noConversion"/>
  </si>
  <si>
    <r>
      <rPr>
        <sz val="14"/>
        <color rgb="FFFF0000"/>
        <rFont val="微軟正黑體"/>
        <family val="2"/>
        <charset val="136"/>
      </rPr>
      <t>200Ø(8")或</t>
    </r>
    <r>
      <rPr>
        <sz val="14"/>
        <rFont val="微軟正黑體"/>
        <family val="2"/>
        <charset val="136"/>
      </rPr>
      <t>(5"×3)</t>
    </r>
    <phoneticPr fontId="1" type="noConversion"/>
  </si>
  <si>
    <t xml:space="preserve">150Ø(6"×2)  </t>
    <phoneticPr fontId="1" type="noConversion"/>
  </si>
  <si>
    <t>150Ø(6")(4"×2)</t>
    <phoneticPr fontId="1" type="noConversion"/>
  </si>
  <si>
    <t>200Ø(8")(4"×3)</t>
    <phoneticPr fontId="1" type="noConversion"/>
  </si>
  <si>
    <t xml:space="preserve">150Ø(6"×3)  </t>
    <phoneticPr fontId="1" type="noConversion"/>
  </si>
  <si>
    <t>4"</t>
    <phoneticPr fontId="1" type="noConversion"/>
  </si>
  <si>
    <t>4"</t>
    <phoneticPr fontId="1" type="noConversion"/>
  </si>
  <si>
    <t>4"×2</t>
    <phoneticPr fontId="1" type="noConversion"/>
  </si>
  <si>
    <t>4"×3</t>
    <phoneticPr fontId="1" type="noConversion"/>
  </si>
  <si>
    <t xml:space="preserve">X&lt; </t>
    <phoneticPr fontId="1" type="noConversion"/>
  </si>
  <si>
    <t xml:space="preserve"> ≦ X&lt;</t>
    <phoneticPr fontId="1" type="noConversion"/>
  </si>
  <si>
    <t xml:space="preserve"> ≦ X</t>
    <phoneticPr fontId="1" type="noConversion"/>
  </si>
  <si>
    <t>—</t>
  </si>
  <si>
    <t>—</t>
    <phoneticPr fontId="1" type="noConversion"/>
  </si>
  <si>
    <t>HP =</t>
    <phoneticPr fontId="1" type="noConversion"/>
  </si>
  <si>
    <t>HP =</t>
    <phoneticPr fontId="1" type="noConversion"/>
  </si>
  <si>
    <t xml:space="preserve"> ≦ X&lt; </t>
    <phoneticPr fontId="1" type="noConversion"/>
  </si>
  <si>
    <t xml:space="preserve">≦  HP  ≦ </t>
    <phoneticPr fontId="1" type="noConversion"/>
  </si>
  <si>
    <t xml:space="preserve">≦ X &lt; </t>
    <phoneticPr fontId="1" type="noConversion"/>
  </si>
  <si>
    <t>X&lt;</t>
    <phoneticPr fontId="1" type="noConversion"/>
  </si>
  <si>
    <t>≦ X &lt;</t>
    <phoneticPr fontId="1" type="noConversion"/>
  </si>
  <si>
    <t xml:space="preserve"> ≦ X &lt; </t>
    <phoneticPr fontId="1" type="noConversion"/>
  </si>
  <si>
    <t xml:space="preserve">≦ X &lt; </t>
    <phoneticPr fontId="1" type="noConversion"/>
  </si>
  <si>
    <t>≦ X</t>
    <phoneticPr fontId="1" type="noConversion"/>
  </si>
  <si>
    <t>HP=</t>
    <phoneticPr fontId="1" type="noConversion"/>
  </si>
  <si>
    <t xml:space="preserve">≦  HP  </t>
    <phoneticPr fontId="1" type="noConversion"/>
  </si>
  <si>
    <t>輸入室外機HP</t>
    <phoneticPr fontId="1" type="noConversion"/>
  </si>
  <si>
    <t>total</t>
    <phoneticPr fontId="1" type="noConversion"/>
  </si>
  <si>
    <t>表2 分歧頭選用表(室內機)</t>
    <phoneticPr fontId="1" type="noConversion"/>
  </si>
  <si>
    <t>表1 第一分歧頭選用表(室外機)</t>
    <phoneticPr fontId="1" type="noConversion"/>
  </si>
  <si>
    <t>表3 主幹管選用表(室外機)</t>
    <phoneticPr fontId="1" type="noConversion"/>
  </si>
  <si>
    <t>表4 次幹管選用表(室內機)</t>
    <phoneticPr fontId="1" type="noConversion"/>
  </si>
  <si>
    <t>輸入室內機能力指數X</t>
    <phoneticPr fontId="1" type="noConversion"/>
  </si>
  <si>
    <t>Ø34.9 × 1.21</t>
    <phoneticPr fontId="1" type="noConversion"/>
  </si>
  <si>
    <t>Ø34.9 × 1.21</t>
    <phoneticPr fontId="1" type="noConversion"/>
  </si>
  <si>
    <t>Ø22.2 × 0.8</t>
    <phoneticPr fontId="1" type="noConversion"/>
  </si>
  <si>
    <t>Ø41.3 × 1.43</t>
    <phoneticPr fontId="1" type="noConversion"/>
  </si>
  <si>
    <t>連結率</t>
    <phoneticPr fontId="1" type="noConversion"/>
  </si>
  <si>
    <t>63,80,100,125,140</t>
    <phoneticPr fontId="1" type="noConversion"/>
  </si>
  <si>
    <t>150Ø(6")或(4"×2)</t>
    <phoneticPr fontId="1" type="noConversion"/>
  </si>
  <si>
    <t>200Ø(8")或(4"×3)</t>
    <phoneticPr fontId="1" type="noConversion"/>
  </si>
  <si>
    <t>150Ø(6")或(5"×2)</t>
    <phoneticPr fontId="1" type="noConversion"/>
  </si>
  <si>
    <t>200Ø(8")或(5"×3)</t>
    <phoneticPr fontId="1" type="noConversion"/>
  </si>
  <si>
    <t>※ 連結率較高時，次幹管可能會大於主幹管尺寸，則主幹管必須放大與次幹管相同尺寸。</t>
    <phoneticPr fontId="1" type="noConversion"/>
  </si>
  <si>
    <t>※ 室外機配置至最遠室內機最大等效管長&gt;90m→主幹管須放大</t>
    <phoneticPr fontId="1" type="noConversion"/>
  </si>
  <si>
    <t>※ 室外機配置至最遠室內機最大等效管長&gt;90m→主幹管須放大(VRV A 、 H)</t>
    <phoneticPr fontId="1" type="noConversion"/>
  </si>
  <si>
    <t>室外機機型</t>
  </si>
  <si>
    <t>氣管</t>
    <phoneticPr fontId="1" type="noConversion"/>
  </si>
  <si>
    <t>液管</t>
  </si>
  <si>
    <t xml:space="preserve">室內機                                                   </t>
    <phoneticPr fontId="1" type="noConversion"/>
  </si>
  <si>
    <t>外徑 × 最小管壁厚度</t>
  </si>
  <si>
    <t>外徑 × 最小管壁厚度</t>
    <phoneticPr fontId="1" type="noConversion"/>
  </si>
  <si>
    <t>外徑 × 最小管壁厚度</t>
    <phoneticPr fontId="1" type="noConversion"/>
  </si>
  <si>
    <t>Ø22.2 × 0.8</t>
  </si>
  <si>
    <t>Ø22.2 × 0.8</t>
    <phoneticPr fontId="1" type="noConversion"/>
  </si>
  <si>
    <t>Ø12.7 × 0.8</t>
  </si>
  <si>
    <t>Ø12.7 × 0.8</t>
    <phoneticPr fontId="1" type="noConversion"/>
  </si>
  <si>
    <t>Ø25.4 × 0.88</t>
    <phoneticPr fontId="1" type="noConversion"/>
  </si>
  <si>
    <t>Ø15.9 × 0.99</t>
  </si>
  <si>
    <t>Ø28.6 × 0.99</t>
  </si>
  <si>
    <t>Ø31.8 × 1.1</t>
  </si>
  <si>
    <t>Ø31.8 × 1.1</t>
    <phoneticPr fontId="1" type="noConversion"/>
  </si>
  <si>
    <t>Ø19.1 × 0.8</t>
  </si>
  <si>
    <t>Ø34.9 × 1.21</t>
  </si>
  <si>
    <t>Ø41.3 × 1.43</t>
  </si>
  <si>
    <t>150Ø(6")或(2"+4")</t>
    <phoneticPr fontId="1" type="noConversion"/>
  </si>
  <si>
    <t>150Ø(6")或(2"+5")</t>
    <phoneticPr fontId="1" type="noConversion"/>
  </si>
  <si>
    <t>200Ø(8")或(3"+4")</t>
    <phoneticPr fontId="1" type="noConversion"/>
  </si>
  <si>
    <t>200Ø(8"×2)</t>
    <phoneticPr fontId="1" type="noConversion"/>
  </si>
  <si>
    <t>200Ø(8"×3)</t>
    <phoneticPr fontId="1" type="noConversion"/>
  </si>
  <si>
    <t>連結率：</t>
    <phoneticPr fontId="1" type="noConversion"/>
  </si>
  <si>
    <t>室外機台數：</t>
    <phoneticPr fontId="1" type="noConversion"/>
  </si>
  <si>
    <t>Ø9.5 × 0.8</t>
    <phoneticPr fontId="1" type="noConversion"/>
  </si>
  <si>
    <t>Ø19.1 × 0.8</t>
    <phoneticPr fontId="1" type="noConversion"/>
  </si>
  <si>
    <t>`</t>
    <phoneticPr fontId="1" type="noConversion"/>
  </si>
  <si>
    <t>輸入室內機能力指數</t>
    <phoneticPr fontId="1" type="noConversion"/>
  </si>
  <si>
    <t>能力指數</t>
    <phoneticPr fontId="1" type="noConversion"/>
  </si>
  <si>
    <t>型號</t>
    <phoneticPr fontId="1" type="noConversion"/>
  </si>
  <si>
    <t xml:space="preserve"> = HP </t>
    <phoneticPr fontId="1" type="noConversion"/>
  </si>
  <si>
    <t xml:space="preserve"> = HP </t>
  </si>
  <si>
    <t>HP ≦</t>
    <phoneticPr fontId="1" type="noConversion"/>
  </si>
  <si>
    <t>Ø15.9 × 0.99</t>
    <phoneticPr fontId="1" type="noConversion"/>
  </si>
  <si>
    <t>選擇室外機型號清單</t>
    <phoneticPr fontId="1" type="noConversion"/>
  </si>
  <si>
    <t>※ 室外機配置至最遠室內機最大等效管長&gt;90m→主幹管須放大(VRV TBM 、VRV4-S、VRV-S380V)</t>
    <phoneticPr fontId="1" type="noConversion"/>
  </si>
  <si>
    <t>Ø38.1 × 1.32</t>
    <phoneticPr fontId="1" type="noConversion"/>
  </si>
  <si>
    <t>125Ø(5")</t>
  </si>
  <si>
    <t>150Ø(6")或(5"×2)</t>
  </si>
  <si>
    <t>200Ø(8")或(5"×3)</t>
  </si>
  <si>
    <t>電源規格</t>
    <phoneticPr fontId="1" type="noConversion"/>
  </si>
  <si>
    <t>單相220V</t>
    <phoneticPr fontId="1" type="noConversion"/>
  </si>
  <si>
    <t>三相220V</t>
    <phoneticPr fontId="1" type="noConversion"/>
  </si>
  <si>
    <t>三相380V</t>
    <phoneticPr fontId="1" type="noConversion"/>
  </si>
  <si>
    <t>RSUYQ112AVT</t>
    <phoneticPr fontId="1" type="noConversion"/>
  </si>
  <si>
    <t>RSUYQ125AVT</t>
    <phoneticPr fontId="1" type="noConversion"/>
  </si>
  <si>
    <t>RSUYQ140AVT</t>
    <phoneticPr fontId="1" type="noConversion"/>
  </si>
  <si>
    <t>RSUYQ160AVT</t>
    <phoneticPr fontId="1" type="noConversion"/>
  </si>
  <si>
    <t>RXYMQ8TTLT</t>
    <phoneticPr fontId="1" type="noConversion"/>
  </si>
  <si>
    <t>RXYMQ10TTLT</t>
    <phoneticPr fontId="1" type="noConversion"/>
  </si>
  <si>
    <t>RXYMQ10ARYLT</t>
    <phoneticPr fontId="1" type="noConversion"/>
  </si>
  <si>
    <t>RXYMQ12ARYLT</t>
    <phoneticPr fontId="1" type="noConversion"/>
  </si>
  <si>
    <t>RXYMQ8TYLT</t>
    <phoneticPr fontId="1" type="noConversion"/>
  </si>
  <si>
    <t>RXYMQ10TYLT</t>
    <phoneticPr fontId="1" type="noConversion"/>
  </si>
  <si>
    <t>TJ3</t>
    <phoneticPr fontId="1" type="noConversion"/>
  </si>
  <si>
    <t>HP</t>
    <phoneticPr fontId="1" type="noConversion"/>
  </si>
  <si>
    <t>單機數量</t>
    <phoneticPr fontId="1" type="noConversion"/>
  </si>
  <si>
    <t>代號</t>
  </si>
  <si>
    <t>X &lt;</t>
    <phoneticPr fontId="1" type="noConversion"/>
  </si>
  <si>
    <t xml:space="preserve">≦  X  ≦ </t>
    <phoneticPr fontId="1" type="noConversion"/>
  </si>
  <si>
    <t xml:space="preserve"> = X </t>
    <phoneticPr fontId="1" type="noConversion"/>
  </si>
  <si>
    <t>室內機標稱能力總和X</t>
    <phoneticPr fontId="1" type="noConversion"/>
  </si>
  <si>
    <t xml:space="preserve"> 標稱能力總和X</t>
    <phoneticPr fontId="1" type="noConversion"/>
  </si>
  <si>
    <t>RXYCQ4BVLT</t>
    <phoneticPr fontId="1" type="noConversion"/>
  </si>
  <si>
    <t>RXYCQ5BVLT</t>
    <phoneticPr fontId="1" type="noConversion"/>
  </si>
  <si>
    <t>RXYCQ6BVLT</t>
    <phoneticPr fontId="1" type="noConversion"/>
  </si>
  <si>
    <t>單相220V</t>
  </si>
  <si>
    <t>適用於上吹型VRV</t>
    <phoneticPr fontId="1" type="noConversion"/>
  </si>
  <si>
    <t>VRVA、VRVH</t>
    <phoneticPr fontId="1" type="noConversion"/>
  </si>
  <si>
    <t>VRV-S、VRV mini</t>
    <phoneticPr fontId="1" type="noConversion"/>
  </si>
  <si>
    <t>側吹型VRV室外機標稱能力X</t>
    <phoneticPr fontId="1" type="noConversion"/>
  </si>
  <si>
    <t>表6 室外機組合機分歧頭選用表</t>
    <phoneticPr fontId="1" type="noConversion"/>
  </si>
  <si>
    <t>室外機標稱能力 X</t>
    <phoneticPr fontId="1" type="noConversion"/>
  </si>
  <si>
    <t>室內機標稱能力總和 X</t>
    <phoneticPr fontId="1" type="noConversion"/>
  </si>
  <si>
    <t>室內機                          標稱能力總和 X</t>
    <phoneticPr fontId="1" type="noConversion"/>
  </si>
  <si>
    <t>RSUYQ112AVT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</si>
</sst>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4"/>
      <color rgb="FFC00000"/>
      <name val="微軟正黑體"/>
      <family val="2"/>
      <charset val="136"/>
    </font>
    <font>
      <b/>
      <sz val="14"/>
      <name val="微軟正黑體"/>
      <family val="2"/>
      <charset val="136"/>
    </font>
    <font>
      <b/>
      <u/>
      <sz val="22"/>
      <color rgb="FFC00000"/>
      <name val="微軟正黑體"/>
      <family val="2"/>
      <charset val="136"/>
    </font>
    <font>
      <b/>
      <u/>
      <sz val="28"/>
      <color theme="0"/>
      <name val="微軟正黑體"/>
      <family val="2"/>
      <charset val="136"/>
    </font>
    <font>
      <b/>
      <sz val="36"/>
      <color theme="0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9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Border="1"/>
    <xf numFmtId="0" fontId="5" fillId="0" borderId="0" xfId="0" applyFont="1"/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6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0" fontId="2" fillId="0" borderId="2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9" xfId="0" applyFont="1" applyBorder="1"/>
    <xf numFmtId="0" fontId="7" fillId="0" borderId="0" xfId="0" applyFont="1" applyAlignment="1">
      <alignment vertical="top"/>
    </xf>
    <xf numFmtId="0" fontId="2" fillId="0" borderId="0" xfId="0" applyFont="1" applyAlignment="1"/>
    <xf numFmtId="0" fontId="2" fillId="0" borderId="17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/>
    </xf>
    <xf numFmtId="0" fontId="9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6" xfId="0" applyFont="1" applyFill="1" applyBorder="1" applyAlignment="1">
      <alignment horizontal="center" vertical="center"/>
    </xf>
  </cellXfs>
  <cellStyles count="1">
    <cellStyle name="一般" xfId="0" builtinId="0"/>
  </cellStyles>
  <dxfs count="57">
    <dxf>
      <fill>
        <patternFill>
          <bgColor rgb="FFFFFF9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colors>
    <mruColors>
      <color rgb="FF66FFFF"/>
      <color rgb="FFFFFF99"/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30841</xdr:colOff>
      <xdr:row>0</xdr:row>
      <xdr:rowOff>50799</xdr:rowOff>
    </xdr:from>
    <xdr:to>
      <xdr:col>14</xdr:col>
      <xdr:colOff>177800</xdr:colOff>
      <xdr:row>19</xdr:row>
      <xdr:rowOff>101586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41" y="50799"/>
          <a:ext cx="11359245" cy="46010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658091</xdr:colOff>
      <xdr:row>1</xdr:row>
      <xdr:rowOff>0</xdr:rowOff>
    </xdr:from>
    <xdr:to>
      <xdr:col>10</xdr:col>
      <xdr:colOff>465607</xdr:colOff>
      <xdr:row>17</xdr:row>
      <xdr:rowOff>127000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8091" y="241300"/>
          <a:ext cx="8773716" cy="398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-LU\A1\2001_HFC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ilin\Local%20Settings\Temporary%20Internet%20Files\OLK20\shipment%20Q'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7784;&#33521;&#31456;\&#22823;&#31077;&#31185;&#25216;\&#29790;&#36562;&#21069;&#35328;&#21450;&#38651;&#2114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01094\Local%20Settings\Temporary%20Internet%20Files\Content.IE5\0P27S1EJ\&#22856;&#31859;b&#26696;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ter"/>
      <sheetName val="Filter (2)"/>
      <sheetName val="HFCA-Hi&amp;P"/>
      <sheetName val="HFCA2001"/>
      <sheetName val="Heater"/>
      <sheetName val="Ball Bearing"/>
      <sheetName val="VFXA"/>
      <sheetName val="VFCA"/>
    </sheetNames>
    <sheetDataSet>
      <sheetData sheetId="0"/>
      <sheetData sheetId="1"/>
      <sheetData sheetId="2"/>
      <sheetData sheetId="3"/>
      <sheetData sheetId="4">
        <row r="2">
          <cell r="A2" t="str">
            <v>ITEM</v>
          </cell>
          <cell r="B2" t="str">
            <v>MATL</v>
          </cell>
          <cell r="C2" t="str">
            <v>SUBC</v>
          </cell>
          <cell r="D2" t="str">
            <v>LABOR</v>
          </cell>
          <cell r="E2" t="str">
            <v>VOHD</v>
          </cell>
          <cell r="F2" t="str">
            <v>VARCST</v>
          </cell>
          <cell r="G2" t="str">
            <v>FOHD</v>
          </cell>
          <cell r="H2" t="str">
            <v>TOTAL</v>
          </cell>
          <cell r="I2" t="str">
            <v>TIME</v>
          </cell>
          <cell r="J2" t="str">
            <v>RE</v>
          </cell>
        </row>
        <row r="3">
          <cell r="A3" t="str">
            <v>HFCA03CNN2NBNR-00</v>
          </cell>
          <cell r="B3">
            <v>1538</v>
          </cell>
          <cell r="C3">
            <v>0</v>
          </cell>
          <cell r="D3">
            <v>142</v>
          </cell>
          <cell r="E3">
            <v>16</v>
          </cell>
          <cell r="F3">
            <v>1696</v>
          </cell>
          <cell r="G3">
            <v>125</v>
          </cell>
          <cell r="H3">
            <v>1821</v>
          </cell>
          <cell r="I3">
            <v>23.7</v>
          </cell>
          <cell r="J3" t="str">
            <v>O</v>
          </cell>
        </row>
        <row r="4">
          <cell r="A4" t="str">
            <v>HFCA04CNN2NBNR-00</v>
          </cell>
          <cell r="B4">
            <v>1685</v>
          </cell>
          <cell r="C4">
            <v>0</v>
          </cell>
          <cell r="D4">
            <v>142</v>
          </cell>
          <cell r="E4">
            <v>16</v>
          </cell>
          <cell r="F4">
            <v>1843</v>
          </cell>
          <cell r="G4">
            <v>125</v>
          </cell>
          <cell r="H4">
            <v>1968</v>
          </cell>
          <cell r="I4">
            <v>23.7</v>
          </cell>
          <cell r="J4" t="str">
            <v>O</v>
          </cell>
        </row>
        <row r="5">
          <cell r="A5" t="str">
            <v>HFCA06CNN2NBNR-00</v>
          </cell>
          <cell r="B5">
            <v>2057</v>
          </cell>
          <cell r="C5">
            <v>0</v>
          </cell>
          <cell r="D5">
            <v>153</v>
          </cell>
          <cell r="E5">
            <v>17</v>
          </cell>
          <cell r="F5">
            <v>2227</v>
          </cell>
          <cell r="G5">
            <v>135</v>
          </cell>
          <cell r="H5">
            <v>2362</v>
          </cell>
          <cell r="I5">
            <v>25.52</v>
          </cell>
          <cell r="J5" t="str">
            <v>O</v>
          </cell>
        </row>
        <row r="6">
          <cell r="A6" t="str">
            <v>HFCA08CNN2NBNR-00</v>
          </cell>
          <cell r="B6">
            <v>2344</v>
          </cell>
          <cell r="C6">
            <v>0</v>
          </cell>
          <cell r="D6">
            <v>153</v>
          </cell>
          <cell r="E6">
            <v>17</v>
          </cell>
          <cell r="F6">
            <v>2514</v>
          </cell>
          <cell r="G6">
            <v>135</v>
          </cell>
          <cell r="H6">
            <v>2649</v>
          </cell>
          <cell r="I6">
            <v>25.52</v>
          </cell>
          <cell r="J6" t="str">
            <v>O</v>
          </cell>
        </row>
        <row r="7">
          <cell r="A7" t="str">
            <v>HFCA10CNN2NBNR-00</v>
          </cell>
          <cell r="B7">
            <v>3380</v>
          </cell>
          <cell r="C7">
            <v>0</v>
          </cell>
          <cell r="D7">
            <v>229</v>
          </cell>
          <cell r="E7">
            <v>25</v>
          </cell>
          <cell r="F7">
            <v>3634</v>
          </cell>
          <cell r="G7">
            <v>202</v>
          </cell>
          <cell r="H7">
            <v>3836</v>
          </cell>
          <cell r="I7">
            <v>38.130000000000003</v>
          </cell>
          <cell r="J7" t="str">
            <v>O</v>
          </cell>
        </row>
        <row r="8">
          <cell r="A8" t="str">
            <v>HFCA12CNN2NBNR-00</v>
          </cell>
          <cell r="B8">
            <v>3654</v>
          </cell>
          <cell r="C8">
            <v>0</v>
          </cell>
          <cell r="D8">
            <v>242</v>
          </cell>
          <cell r="E8">
            <v>27</v>
          </cell>
          <cell r="F8">
            <v>3923</v>
          </cell>
          <cell r="G8">
            <v>213</v>
          </cell>
          <cell r="H8">
            <v>4136</v>
          </cell>
          <cell r="I8">
            <v>40.270000000000003</v>
          </cell>
          <cell r="J8" t="str">
            <v>O</v>
          </cell>
        </row>
        <row r="9">
          <cell r="A9" t="str">
            <v>HFCA14CNN2NBNR-00</v>
          </cell>
          <cell r="B9">
            <v>3750</v>
          </cell>
          <cell r="C9">
            <v>0</v>
          </cell>
          <cell r="D9">
            <v>242</v>
          </cell>
          <cell r="E9">
            <v>27</v>
          </cell>
          <cell r="F9">
            <v>4019</v>
          </cell>
          <cell r="G9">
            <v>213</v>
          </cell>
          <cell r="H9">
            <v>4232</v>
          </cell>
          <cell r="I9">
            <v>40.270000000000003</v>
          </cell>
          <cell r="J9" t="str">
            <v>O</v>
          </cell>
        </row>
        <row r="10">
          <cell r="A10" t="str">
            <v>HFCA03CNN5NBNR-00</v>
          </cell>
          <cell r="B10">
            <v>1556</v>
          </cell>
          <cell r="C10">
            <v>0</v>
          </cell>
          <cell r="D10">
            <v>142</v>
          </cell>
          <cell r="E10">
            <v>16</v>
          </cell>
          <cell r="F10">
            <v>1714</v>
          </cell>
          <cell r="G10">
            <v>125</v>
          </cell>
          <cell r="H10">
            <v>1839</v>
          </cell>
          <cell r="I10">
            <v>23.7</v>
          </cell>
          <cell r="J10" t="str">
            <v>O</v>
          </cell>
        </row>
        <row r="11">
          <cell r="A11" t="str">
            <v>HFCA04CNN5NBNR-00</v>
          </cell>
          <cell r="B11">
            <v>1703</v>
          </cell>
          <cell r="C11">
            <v>0</v>
          </cell>
          <cell r="D11">
            <v>142</v>
          </cell>
          <cell r="E11">
            <v>16</v>
          </cell>
          <cell r="F11">
            <v>1861</v>
          </cell>
          <cell r="G11">
            <v>125</v>
          </cell>
          <cell r="H11">
            <v>1986</v>
          </cell>
          <cell r="I11">
            <v>23.7</v>
          </cell>
          <cell r="J11" t="str">
            <v>O</v>
          </cell>
        </row>
        <row r="12">
          <cell r="A12" t="str">
            <v>HFCA06CNN5NBNR-00</v>
          </cell>
          <cell r="B12">
            <v>2068</v>
          </cell>
          <cell r="C12">
            <v>0</v>
          </cell>
          <cell r="D12">
            <v>153</v>
          </cell>
          <cell r="E12">
            <v>17</v>
          </cell>
          <cell r="F12">
            <v>2238</v>
          </cell>
          <cell r="G12">
            <v>135</v>
          </cell>
          <cell r="H12">
            <v>2373</v>
          </cell>
          <cell r="I12">
            <v>25.52</v>
          </cell>
          <cell r="J12" t="str">
            <v>O</v>
          </cell>
        </row>
        <row r="13">
          <cell r="A13" t="str">
            <v>HFCA08CNN5NBNR-00</v>
          </cell>
          <cell r="B13">
            <v>2341</v>
          </cell>
          <cell r="C13">
            <v>0</v>
          </cell>
          <cell r="D13">
            <v>153</v>
          </cell>
          <cell r="E13">
            <v>17</v>
          </cell>
          <cell r="F13">
            <v>2511</v>
          </cell>
          <cell r="G13">
            <v>135</v>
          </cell>
          <cell r="H13">
            <v>2646</v>
          </cell>
          <cell r="I13">
            <v>25.52</v>
          </cell>
          <cell r="J13" t="str">
            <v>O</v>
          </cell>
        </row>
        <row r="14">
          <cell r="A14" t="str">
            <v>HFCA10CNN5NBNR-00</v>
          </cell>
          <cell r="B14">
            <v>3395</v>
          </cell>
          <cell r="C14">
            <v>0</v>
          </cell>
          <cell r="D14">
            <v>229</v>
          </cell>
          <cell r="E14">
            <v>25</v>
          </cell>
          <cell r="F14">
            <v>3649</v>
          </cell>
          <cell r="G14">
            <v>202</v>
          </cell>
          <cell r="H14">
            <v>3851</v>
          </cell>
          <cell r="I14">
            <v>38.130000000000003</v>
          </cell>
          <cell r="J14" t="str">
            <v>O</v>
          </cell>
        </row>
        <row r="15">
          <cell r="A15" t="str">
            <v>HFCA12CNN5NBNR-00</v>
          </cell>
          <cell r="B15">
            <v>3676</v>
          </cell>
          <cell r="C15">
            <v>0</v>
          </cell>
          <cell r="D15">
            <v>242</v>
          </cell>
          <cell r="E15">
            <v>27</v>
          </cell>
          <cell r="F15">
            <v>3945</v>
          </cell>
          <cell r="G15">
            <v>213</v>
          </cell>
          <cell r="H15">
            <v>4158</v>
          </cell>
          <cell r="I15">
            <v>40.270000000000003</v>
          </cell>
          <cell r="J15" t="str">
            <v>O</v>
          </cell>
        </row>
        <row r="16">
          <cell r="A16" t="str">
            <v>HFCA14CNN5NBNR-00</v>
          </cell>
          <cell r="B16">
            <v>3744</v>
          </cell>
          <cell r="C16">
            <v>0</v>
          </cell>
          <cell r="D16">
            <v>242</v>
          </cell>
          <cell r="E16">
            <v>27</v>
          </cell>
          <cell r="F16">
            <v>4013</v>
          </cell>
          <cell r="G16">
            <v>213</v>
          </cell>
          <cell r="H16">
            <v>4226</v>
          </cell>
          <cell r="I16">
            <v>40.270000000000003</v>
          </cell>
          <cell r="J16" t="str">
            <v>O</v>
          </cell>
        </row>
        <row r="17">
          <cell r="A17" t="str">
            <v>2 ROWS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HFCA03ANN2NBNR-00</v>
          </cell>
          <cell r="B18">
            <v>1459</v>
          </cell>
          <cell r="C18">
            <v>0</v>
          </cell>
          <cell r="D18">
            <v>142</v>
          </cell>
          <cell r="E18">
            <v>16</v>
          </cell>
          <cell r="F18">
            <v>1617</v>
          </cell>
          <cell r="G18">
            <v>125</v>
          </cell>
          <cell r="H18">
            <v>1742</v>
          </cell>
          <cell r="I18">
            <v>23.7</v>
          </cell>
        </row>
        <row r="19">
          <cell r="A19" t="str">
            <v>HFCA04ANN2NBNR-00</v>
          </cell>
          <cell r="B19">
            <v>1597</v>
          </cell>
          <cell r="C19">
            <v>0</v>
          </cell>
          <cell r="D19">
            <v>142</v>
          </cell>
          <cell r="E19">
            <v>16</v>
          </cell>
          <cell r="F19">
            <v>1755</v>
          </cell>
          <cell r="G19">
            <v>125</v>
          </cell>
          <cell r="H19">
            <v>1880</v>
          </cell>
          <cell r="I19">
            <v>23.7</v>
          </cell>
        </row>
        <row r="20">
          <cell r="A20" t="str">
            <v>HFCA06ANN2NBNR-00</v>
          </cell>
          <cell r="B20">
            <v>1928</v>
          </cell>
          <cell r="C20">
            <v>0</v>
          </cell>
          <cell r="D20">
            <v>153</v>
          </cell>
          <cell r="E20">
            <v>17</v>
          </cell>
          <cell r="F20">
            <v>2098</v>
          </cell>
          <cell r="G20">
            <v>135</v>
          </cell>
          <cell r="H20">
            <v>2233</v>
          </cell>
          <cell r="I20">
            <v>25.52</v>
          </cell>
        </row>
        <row r="21">
          <cell r="A21" t="str">
            <v>HFCA08ANN2NBNR-00</v>
          </cell>
          <cell r="B21">
            <v>2178</v>
          </cell>
          <cell r="C21">
            <v>0</v>
          </cell>
          <cell r="D21">
            <v>153</v>
          </cell>
          <cell r="E21">
            <v>17</v>
          </cell>
          <cell r="F21">
            <v>2348</v>
          </cell>
          <cell r="G21">
            <v>135</v>
          </cell>
          <cell r="H21">
            <v>2483</v>
          </cell>
          <cell r="I21">
            <v>25.52</v>
          </cell>
        </row>
        <row r="22">
          <cell r="A22" t="str">
            <v>HFCA10ANN2NBNR-00</v>
          </cell>
          <cell r="B22">
            <v>3167</v>
          </cell>
          <cell r="C22">
            <v>0</v>
          </cell>
          <cell r="D22">
            <v>228</v>
          </cell>
          <cell r="E22">
            <v>25</v>
          </cell>
          <cell r="F22">
            <v>3420</v>
          </cell>
          <cell r="G22">
            <v>201</v>
          </cell>
          <cell r="H22">
            <v>3621</v>
          </cell>
          <cell r="I22">
            <v>38.130000000000003</v>
          </cell>
        </row>
        <row r="23">
          <cell r="A23" t="str">
            <v>HFCA12ANN2NBNR-00</v>
          </cell>
          <cell r="B23">
            <v>3417</v>
          </cell>
          <cell r="C23">
            <v>0</v>
          </cell>
          <cell r="D23">
            <v>241</v>
          </cell>
          <cell r="E23">
            <v>27</v>
          </cell>
          <cell r="F23">
            <v>3685</v>
          </cell>
          <cell r="G23">
            <v>212</v>
          </cell>
          <cell r="H23">
            <v>3897</v>
          </cell>
          <cell r="I23">
            <v>40.270000000000003</v>
          </cell>
        </row>
        <row r="24">
          <cell r="A24" t="str">
            <v>HFCA14ANN2NBNR-00</v>
          </cell>
          <cell r="B24">
            <v>3526</v>
          </cell>
          <cell r="C24">
            <v>0</v>
          </cell>
          <cell r="D24">
            <v>241</v>
          </cell>
          <cell r="E24">
            <v>27</v>
          </cell>
          <cell r="F24">
            <v>3794</v>
          </cell>
          <cell r="G24">
            <v>212</v>
          </cell>
          <cell r="H24">
            <v>4006</v>
          </cell>
          <cell r="I24">
            <v>40.270000000000003</v>
          </cell>
        </row>
        <row r="25">
          <cell r="A25" t="str">
            <v>4 ROWS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HFCA03ENN2NBNR-00</v>
          </cell>
          <cell r="B26">
            <v>1632</v>
          </cell>
          <cell r="C26">
            <v>0</v>
          </cell>
          <cell r="D26">
            <v>142</v>
          </cell>
          <cell r="E26">
            <v>16</v>
          </cell>
          <cell r="F26">
            <v>1790</v>
          </cell>
          <cell r="G26">
            <v>125</v>
          </cell>
          <cell r="H26">
            <v>1915</v>
          </cell>
          <cell r="I26">
            <v>23.7</v>
          </cell>
        </row>
        <row r="27">
          <cell r="A27" t="str">
            <v>HFCA04ENN2NBNR-00</v>
          </cell>
          <cell r="B27">
            <v>1816</v>
          </cell>
          <cell r="C27">
            <v>0</v>
          </cell>
          <cell r="D27">
            <v>142</v>
          </cell>
          <cell r="E27">
            <v>16</v>
          </cell>
          <cell r="F27">
            <v>1974</v>
          </cell>
          <cell r="G27">
            <v>125</v>
          </cell>
          <cell r="H27">
            <v>2099</v>
          </cell>
          <cell r="I27">
            <v>23.7</v>
          </cell>
        </row>
        <row r="28">
          <cell r="A28" t="str">
            <v>HFCA06ENN2NBNR-00</v>
          </cell>
          <cell r="B28">
            <v>2195</v>
          </cell>
          <cell r="C28">
            <v>0</v>
          </cell>
          <cell r="D28">
            <v>153</v>
          </cell>
          <cell r="E28">
            <v>17</v>
          </cell>
          <cell r="F28">
            <v>2365</v>
          </cell>
          <cell r="G28">
            <v>135</v>
          </cell>
          <cell r="H28">
            <v>2500</v>
          </cell>
          <cell r="I28">
            <v>25.52</v>
          </cell>
        </row>
        <row r="29">
          <cell r="A29" t="str">
            <v>HFCA08ENN2NBNR-00</v>
          </cell>
          <cell r="B29">
            <v>2520</v>
          </cell>
          <cell r="C29">
            <v>0</v>
          </cell>
          <cell r="D29">
            <v>153</v>
          </cell>
          <cell r="E29">
            <v>17</v>
          </cell>
          <cell r="F29">
            <v>2690</v>
          </cell>
          <cell r="G29">
            <v>135</v>
          </cell>
          <cell r="H29">
            <v>2825</v>
          </cell>
          <cell r="I29">
            <v>25.52</v>
          </cell>
        </row>
        <row r="30">
          <cell r="A30" t="str">
            <v>HFCA10ENN2NBNR-00</v>
          </cell>
          <cell r="B30">
            <v>3631</v>
          </cell>
          <cell r="C30">
            <v>0</v>
          </cell>
          <cell r="D30">
            <v>228</v>
          </cell>
          <cell r="E30">
            <v>25</v>
          </cell>
          <cell r="F30">
            <v>3884</v>
          </cell>
          <cell r="G30">
            <v>201</v>
          </cell>
          <cell r="H30">
            <v>4085</v>
          </cell>
          <cell r="I30">
            <v>38.130000000000003</v>
          </cell>
        </row>
        <row r="31">
          <cell r="A31" t="str">
            <v>HFCA12ENN2NBNR-00</v>
          </cell>
          <cell r="B31">
            <v>3943</v>
          </cell>
          <cell r="C31">
            <v>0</v>
          </cell>
          <cell r="D31">
            <v>241</v>
          </cell>
          <cell r="E31">
            <v>27</v>
          </cell>
          <cell r="F31">
            <v>4211</v>
          </cell>
          <cell r="G31">
            <v>212</v>
          </cell>
          <cell r="H31">
            <v>4423</v>
          </cell>
          <cell r="I31">
            <v>40.270000000000003</v>
          </cell>
        </row>
        <row r="32">
          <cell r="A32" t="str">
            <v>HFCA14ENN2NBNR-00</v>
          </cell>
          <cell r="B32">
            <v>4071</v>
          </cell>
          <cell r="C32">
            <v>0</v>
          </cell>
          <cell r="D32">
            <v>241</v>
          </cell>
          <cell r="E32">
            <v>27</v>
          </cell>
          <cell r="F32">
            <v>4339</v>
          </cell>
          <cell r="G32">
            <v>212</v>
          </cell>
          <cell r="H32">
            <v>4551</v>
          </cell>
          <cell r="I32">
            <v>40.270000000000003</v>
          </cell>
        </row>
        <row r="33">
          <cell r="A33" t="str">
            <v>W/ RETURN PLENUM &amp;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HFCA03CNN2NBAR-00</v>
          </cell>
          <cell r="B34">
            <v>1707</v>
          </cell>
          <cell r="C34">
            <v>0</v>
          </cell>
          <cell r="D34">
            <v>149</v>
          </cell>
          <cell r="E34">
            <v>16</v>
          </cell>
          <cell r="F34">
            <v>1872</v>
          </cell>
          <cell r="G34">
            <v>131</v>
          </cell>
          <cell r="H34">
            <v>2003</v>
          </cell>
          <cell r="I34">
            <v>24.8</v>
          </cell>
          <cell r="J34" t="str">
            <v>O</v>
          </cell>
        </row>
        <row r="35">
          <cell r="A35" t="str">
            <v>HFCA04CNN2NBAR-00</v>
          </cell>
          <cell r="B35">
            <v>1885</v>
          </cell>
          <cell r="C35">
            <v>0</v>
          </cell>
          <cell r="D35">
            <v>149</v>
          </cell>
          <cell r="E35">
            <v>16</v>
          </cell>
          <cell r="F35">
            <v>2050</v>
          </cell>
          <cell r="G35">
            <v>131</v>
          </cell>
          <cell r="H35">
            <v>2181</v>
          </cell>
          <cell r="I35">
            <v>24.8</v>
          </cell>
          <cell r="J35" t="str">
            <v>O</v>
          </cell>
        </row>
        <row r="36">
          <cell r="A36" t="str">
            <v>HFCA06CNN2NBAR-00</v>
          </cell>
          <cell r="B36">
            <v>2291</v>
          </cell>
          <cell r="C36">
            <v>0</v>
          </cell>
          <cell r="D36">
            <v>161</v>
          </cell>
          <cell r="E36">
            <v>18</v>
          </cell>
          <cell r="F36">
            <v>2470</v>
          </cell>
          <cell r="G36">
            <v>142</v>
          </cell>
          <cell r="H36">
            <v>2612</v>
          </cell>
          <cell r="I36">
            <v>26.8</v>
          </cell>
          <cell r="J36" t="str">
            <v>O</v>
          </cell>
        </row>
        <row r="37">
          <cell r="A37" t="str">
            <v>HFCA08CNN2NBAR-00</v>
          </cell>
          <cell r="B37">
            <v>2625</v>
          </cell>
          <cell r="C37">
            <v>0</v>
          </cell>
          <cell r="D37">
            <v>161</v>
          </cell>
          <cell r="E37">
            <v>18</v>
          </cell>
          <cell r="F37">
            <v>2804</v>
          </cell>
          <cell r="G37">
            <v>142</v>
          </cell>
          <cell r="H37">
            <v>2946</v>
          </cell>
          <cell r="I37">
            <v>26.8</v>
          </cell>
          <cell r="J37" t="str">
            <v>O</v>
          </cell>
        </row>
        <row r="38">
          <cell r="A38" t="str">
            <v>HFCA10CNN2NBAR-00</v>
          </cell>
          <cell r="B38">
            <v>3690</v>
          </cell>
          <cell r="C38">
            <v>0</v>
          </cell>
          <cell r="D38">
            <v>235</v>
          </cell>
          <cell r="E38">
            <v>26</v>
          </cell>
          <cell r="F38">
            <v>3951</v>
          </cell>
          <cell r="G38">
            <v>207</v>
          </cell>
          <cell r="H38">
            <v>4158</v>
          </cell>
          <cell r="I38">
            <v>39.1</v>
          </cell>
          <cell r="J38" t="str">
            <v>O</v>
          </cell>
        </row>
        <row r="39">
          <cell r="A39" t="str">
            <v>HFCA12CNN2NBAR-00</v>
          </cell>
          <cell r="B39">
            <v>4006</v>
          </cell>
          <cell r="C39">
            <v>0</v>
          </cell>
          <cell r="D39">
            <v>244</v>
          </cell>
          <cell r="E39">
            <v>27</v>
          </cell>
          <cell r="F39">
            <v>4277</v>
          </cell>
          <cell r="G39">
            <v>215</v>
          </cell>
          <cell r="H39">
            <v>4492</v>
          </cell>
          <cell r="I39">
            <v>40.6</v>
          </cell>
          <cell r="J39" t="str">
            <v>O</v>
          </cell>
        </row>
        <row r="40">
          <cell r="A40" t="str">
            <v>HFCA14CNN2NBAR-00</v>
          </cell>
          <cell r="B40">
            <v>4312</v>
          </cell>
          <cell r="C40">
            <v>0</v>
          </cell>
          <cell r="D40">
            <v>244</v>
          </cell>
          <cell r="E40">
            <v>27</v>
          </cell>
          <cell r="F40">
            <v>4583</v>
          </cell>
          <cell r="G40">
            <v>215</v>
          </cell>
          <cell r="H40">
            <v>4798</v>
          </cell>
          <cell r="I40">
            <v>40.6</v>
          </cell>
          <cell r="J40" t="str">
            <v>O</v>
          </cell>
        </row>
        <row r="41">
          <cell r="A41" t="str">
            <v>W/ RETURN PLENUM W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HFCA03CNN2NBFR-00</v>
          </cell>
          <cell r="B42">
            <v>1645</v>
          </cell>
          <cell r="C42">
            <v>0</v>
          </cell>
          <cell r="D42">
            <v>149</v>
          </cell>
          <cell r="E42">
            <v>16</v>
          </cell>
          <cell r="F42">
            <v>1810</v>
          </cell>
          <cell r="G42">
            <v>131</v>
          </cell>
          <cell r="H42">
            <v>1941</v>
          </cell>
          <cell r="I42">
            <v>24.8</v>
          </cell>
        </row>
        <row r="43">
          <cell r="A43" t="str">
            <v>HFCA04CNN2NBFR-00</v>
          </cell>
          <cell r="B43">
            <v>1819</v>
          </cell>
          <cell r="C43">
            <v>0</v>
          </cell>
          <cell r="D43">
            <v>149</v>
          </cell>
          <cell r="E43">
            <v>16</v>
          </cell>
          <cell r="F43">
            <v>1984</v>
          </cell>
          <cell r="G43">
            <v>131</v>
          </cell>
          <cell r="H43">
            <v>2115</v>
          </cell>
          <cell r="I43">
            <v>24.8</v>
          </cell>
        </row>
        <row r="44">
          <cell r="A44" t="str">
            <v>HFCA06CNN2NBFR-00</v>
          </cell>
          <cell r="B44">
            <v>2195</v>
          </cell>
          <cell r="C44">
            <v>0</v>
          </cell>
          <cell r="D44">
            <v>161</v>
          </cell>
          <cell r="E44">
            <v>18</v>
          </cell>
          <cell r="F44">
            <v>2374</v>
          </cell>
          <cell r="G44">
            <v>142</v>
          </cell>
          <cell r="H44">
            <v>2516</v>
          </cell>
          <cell r="I44">
            <v>26.8</v>
          </cell>
        </row>
        <row r="45">
          <cell r="A45" t="str">
            <v>HFCA08CNN2NBFR-00</v>
          </cell>
          <cell r="B45">
            <v>2499</v>
          </cell>
          <cell r="C45">
            <v>0</v>
          </cell>
          <cell r="D45">
            <v>161</v>
          </cell>
          <cell r="E45">
            <v>18</v>
          </cell>
          <cell r="F45">
            <v>2678</v>
          </cell>
          <cell r="G45">
            <v>142</v>
          </cell>
          <cell r="H45">
            <v>2820</v>
          </cell>
          <cell r="I45">
            <v>26.8</v>
          </cell>
        </row>
        <row r="46">
          <cell r="A46" t="str">
            <v>HFCA10CNN2NBFR-00</v>
          </cell>
          <cell r="B46">
            <v>3554</v>
          </cell>
          <cell r="C46">
            <v>0</v>
          </cell>
          <cell r="D46">
            <v>234</v>
          </cell>
          <cell r="E46">
            <v>26</v>
          </cell>
          <cell r="F46">
            <v>3814</v>
          </cell>
          <cell r="G46">
            <v>206</v>
          </cell>
          <cell r="H46">
            <v>4020</v>
          </cell>
          <cell r="I46">
            <v>39.1</v>
          </cell>
        </row>
        <row r="47">
          <cell r="A47" t="str">
            <v>HFCA12CNN2NBFR-00</v>
          </cell>
          <cell r="B47">
            <v>3852</v>
          </cell>
          <cell r="C47">
            <v>0</v>
          </cell>
          <cell r="D47">
            <v>243</v>
          </cell>
          <cell r="E47">
            <v>27</v>
          </cell>
          <cell r="F47">
            <v>4122</v>
          </cell>
          <cell r="G47">
            <v>214</v>
          </cell>
          <cell r="H47">
            <v>4336</v>
          </cell>
          <cell r="I47">
            <v>40.6</v>
          </cell>
        </row>
        <row r="48">
          <cell r="A48" t="str">
            <v>HFCA14CNN2NBFR-00</v>
          </cell>
          <cell r="B48">
            <v>3994</v>
          </cell>
          <cell r="C48">
            <v>0</v>
          </cell>
          <cell r="D48">
            <v>243</v>
          </cell>
          <cell r="E48">
            <v>27</v>
          </cell>
          <cell r="F48">
            <v>4264</v>
          </cell>
          <cell r="G48">
            <v>214</v>
          </cell>
          <cell r="H48">
            <v>4478</v>
          </cell>
          <cell r="I48">
            <v>40.6</v>
          </cell>
        </row>
        <row r="49">
          <cell r="A49" t="str">
            <v>W/ RETURN PLENUM &amp;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HFCA03CNN2NBBR-00</v>
          </cell>
          <cell r="B50">
            <v>1734</v>
          </cell>
          <cell r="C50">
            <v>0</v>
          </cell>
          <cell r="D50">
            <v>149</v>
          </cell>
          <cell r="E50">
            <v>16</v>
          </cell>
          <cell r="F50">
            <v>1899</v>
          </cell>
          <cell r="G50">
            <v>131</v>
          </cell>
          <cell r="H50">
            <v>2030</v>
          </cell>
          <cell r="I50">
            <v>24.8</v>
          </cell>
        </row>
        <row r="51">
          <cell r="A51" t="str">
            <v>HFCA04CNN2NBBR-00</v>
          </cell>
          <cell r="B51">
            <v>1948</v>
          </cell>
          <cell r="C51">
            <v>0</v>
          </cell>
          <cell r="D51">
            <v>149</v>
          </cell>
          <cell r="E51">
            <v>16</v>
          </cell>
          <cell r="F51">
            <v>2113</v>
          </cell>
          <cell r="G51">
            <v>131</v>
          </cell>
          <cell r="H51">
            <v>2244</v>
          </cell>
          <cell r="I51">
            <v>24.8</v>
          </cell>
        </row>
        <row r="52">
          <cell r="A52" t="str">
            <v>HFCA06CNN2NBBR-00</v>
          </cell>
          <cell r="B52">
            <v>2353</v>
          </cell>
          <cell r="C52">
            <v>0</v>
          </cell>
          <cell r="D52">
            <v>161</v>
          </cell>
          <cell r="E52">
            <v>18</v>
          </cell>
          <cell r="F52">
            <v>2532</v>
          </cell>
          <cell r="G52">
            <v>142</v>
          </cell>
          <cell r="H52">
            <v>2674</v>
          </cell>
          <cell r="I52">
            <v>26.8</v>
          </cell>
        </row>
        <row r="53">
          <cell r="A53" t="str">
            <v>HFCA08CNN2NBBR-00</v>
          </cell>
          <cell r="B53">
            <v>2707</v>
          </cell>
          <cell r="C53">
            <v>0</v>
          </cell>
          <cell r="D53">
            <v>161</v>
          </cell>
          <cell r="E53">
            <v>18</v>
          </cell>
          <cell r="F53">
            <v>2886</v>
          </cell>
          <cell r="G53">
            <v>142</v>
          </cell>
          <cell r="H53">
            <v>3028</v>
          </cell>
          <cell r="I53">
            <v>26.8</v>
          </cell>
        </row>
        <row r="54">
          <cell r="A54" t="str">
            <v>HFCA10CNN2NBBR-00</v>
          </cell>
          <cell r="B54">
            <v>3792</v>
          </cell>
          <cell r="C54">
            <v>0</v>
          </cell>
          <cell r="D54">
            <v>234</v>
          </cell>
          <cell r="E54">
            <v>26</v>
          </cell>
          <cell r="F54">
            <v>4052</v>
          </cell>
          <cell r="G54">
            <v>206</v>
          </cell>
          <cell r="H54">
            <v>4258</v>
          </cell>
          <cell r="I54">
            <v>39.1</v>
          </cell>
        </row>
        <row r="55">
          <cell r="A55" t="str">
            <v>HFCA12CNN2NBBR-00</v>
          </cell>
          <cell r="B55">
            <v>4139</v>
          </cell>
          <cell r="C55">
            <v>0</v>
          </cell>
          <cell r="D55">
            <v>243</v>
          </cell>
          <cell r="E55">
            <v>27</v>
          </cell>
          <cell r="F55">
            <v>4409</v>
          </cell>
          <cell r="G55">
            <v>214</v>
          </cell>
          <cell r="H55">
            <v>4623</v>
          </cell>
          <cell r="I55">
            <v>40.6</v>
          </cell>
        </row>
        <row r="56">
          <cell r="A56" t="str">
            <v>HFCA14CNN2NBBR-00</v>
          </cell>
          <cell r="B56">
            <v>4151</v>
          </cell>
          <cell r="C56">
            <v>0</v>
          </cell>
          <cell r="D56">
            <v>243</v>
          </cell>
          <cell r="E56">
            <v>27</v>
          </cell>
          <cell r="F56">
            <v>4421</v>
          </cell>
          <cell r="G56">
            <v>214</v>
          </cell>
          <cell r="H56">
            <v>4635</v>
          </cell>
          <cell r="I56">
            <v>40.6</v>
          </cell>
        </row>
        <row r="57">
          <cell r="A57" t="str">
            <v>W/ RETURN PLENUM &amp;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HFCA03CNN2NBCR-00</v>
          </cell>
          <cell r="B58">
            <v>1728</v>
          </cell>
          <cell r="C58">
            <v>0</v>
          </cell>
          <cell r="D58">
            <v>149</v>
          </cell>
          <cell r="E58">
            <v>16</v>
          </cell>
          <cell r="F58">
            <v>1893</v>
          </cell>
          <cell r="G58">
            <v>131</v>
          </cell>
          <cell r="H58">
            <v>2024</v>
          </cell>
          <cell r="I58">
            <v>24.8</v>
          </cell>
        </row>
        <row r="59">
          <cell r="A59" t="str">
            <v>HFCA04CNN2NBCR-00</v>
          </cell>
          <cell r="B59">
            <v>1933</v>
          </cell>
          <cell r="C59">
            <v>0</v>
          </cell>
          <cell r="D59">
            <v>149</v>
          </cell>
          <cell r="E59">
            <v>16</v>
          </cell>
          <cell r="F59">
            <v>2098</v>
          </cell>
          <cell r="G59">
            <v>131</v>
          </cell>
          <cell r="H59">
            <v>2229</v>
          </cell>
          <cell r="I59">
            <v>24.8</v>
          </cell>
        </row>
        <row r="60">
          <cell r="A60" t="str">
            <v>HFCA06CNN2NBCR-00</v>
          </cell>
          <cell r="B60">
            <v>2342</v>
          </cell>
          <cell r="C60">
            <v>0</v>
          </cell>
          <cell r="D60">
            <v>161</v>
          </cell>
          <cell r="E60">
            <v>18</v>
          </cell>
          <cell r="F60">
            <v>2521</v>
          </cell>
          <cell r="G60">
            <v>142</v>
          </cell>
          <cell r="H60">
            <v>2663</v>
          </cell>
          <cell r="I60">
            <v>26.8</v>
          </cell>
        </row>
        <row r="61">
          <cell r="A61" t="str">
            <v>HFCA08CNN2NBCR-00</v>
          </cell>
          <cell r="B61">
            <v>2696</v>
          </cell>
          <cell r="C61">
            <v>0</v>
          </cell>
          <cell r="D61">
            <v>161</v>
          </cell>
          <cell r="E61">
            <v>18</v>
          </cell>
          <cell r="F61">
            <v>2875</v>
          </cell>
          <cell r="G61">
            <v>142</v>
          </cell>
          <cell r="H61">
            <v>3017</v>
          </cell>
          <cell r="I61">
            <v>26.8</v>
          </cell>
        </row>
        <row r="62">
          <cell r="A62" t="str">
            <v>HFCA10CNN2NBCR-00</v>
          </cell>
          <cell r="B62">
            <v>3778</v>
          </cell>
          <cell r="C62">
            <v>0</v>
          </cell>
          <cell r="D62">
            <v>234</v>
          </cell>
          <cell r="E62">
            <v>26</v>
          </cell>
          <cell r="F62">
            <v>4038</v>
          </cell>
          <cell r="G62">
            <v>206</v>
          </cell>
          <cell r="H62">
            <v>4244</v>
          </cell>
          <cell r="I62">
            <v>39.1</v>
          </cell>
        </row>
        <row r="63">
          <cell r="A63" t="str">
            <v>HFCA12CNN2NBCR-00</v>
          </cell>
          <cell r="B63">
            <v>4119</v>
          </cell>
          <cell r="C63">
            <v>0</v>
          </cell>
          <cell r="D63">
            <v>243</v>
          </cell>
          <cell r="E63">
            <v>27</v>
          </cell>
          <cell r="F63">
            <v>4389</v>
          </cell>
          <cell r="G63">
            <v>214</v>
          </cell>
          <cell r="H63">
            <v>4603</v>
          </cell>
          <cell r="I63">
            <v>40.6</v>
          </cell>
        </row>
        <row r="64">
          <cell r="A64" t="str">
            <v>HFCA14CNN2NBCR-00</v>
          </cell>
          <cell r="B64">
            <v>4143</v>
          </cell>
          <cell r="C64">
            <v>0</v>
          </cell>
          <cell r="D64">
            <v>243</v>
          </cell>
          <cell r="E64">
            <v>27</v>
          </cell>
          <cell r="F64">
            <v>4413</v>
          </cell>
          <cell r="G64">
            <v>214</v>
          </cell>
          <cell r="H64">
            <v>4627</v>
          </cell>
          <cell r="I64">
            <v>40.6</v>
          </cell>
        </row>
        <row r="65">
          <cell r="A65" t="str">
            <v>W/ RETURN PLENUM &amp;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HFCA03CNN2NBDR-00</v>
          </cell>
          <cell r="B66">
            <v>1774</v>
          </cell>
          <cell r="C66">
            <v>0</v>
          </cell>
          <cell r="D66">
            <v>149</v>
          </cell>
          <cell r="E66">
            <v>16</v>
          </cell>
          <cell r="F66">
            <v>1939</v>
          </cell>
          <cell r="G66">
            <v>131</v>
          </cell>
          <cell r="H66">
            <v>2070</v>
          </cell>
          <cell r="I66">
            <v>24.8</v>
          </cell>
          <cell r="J66" t="str">
            <v>O</v>
          </cell>
        </row>
        <row r="67">
          <cell r="A67" t="str">
            <v>HFCA04CNN2NBDR-00</v>
          </cell>
          <cell r="B67">
            <v>2001</v>
          </cell>
          <cell r="C67">
            <v>0</v>
          </cell>
          <cell r="D67">
            <v>149</v>
          </cell>
          <cell r="E67">
            <v>16</v>
          </cell>
          <cell r="F67">
            <v>2166</v>
          </cell>
          <cell r="G67">
            <v>131</v>
          </cell>
          <cell r="H67">
            <v>2297</v>
          </cell>
          <cell r="I67">
            <v>24.8</v>
          </cell>
          <cell r="J67" t="str">
            <v>O</v>
          </cell>
        </row>
        <row r="68">
          <cell r="A68" t="str">
            <v>HFCA06CNN2NBDR-00</v>
          </cell>
          <cell r="B68">
            <v>2413</v>
          </cell>
          <cell r="C68">
            <v>0</v>
          </cell>
          <cell r="D68">
            <v>161</v>
          </cell>
          <cell r="E68">
            <v>18</v>
          </cell>
          <cell r="F68">
            <v>2592</v>
          </cell>
          <cell r="G68">
            <v>142</v>
          </cell>
          <cell r="H68">
            <v>2734</v>
          </cell>
          <cell r="I68">
            <v>26.8</v>
          </cell>
          <cell r="J68" t="str">
            <v>O</v>
          </cell>
        </row>
        <row r="69">
          <cell r="A69" t="str">
            <v>HFCA08CNN2NBDR-00</v>
          </cell>
          <cell r="B69">
            <v>2787</v>
          </cell>
          <cell r="C69">
            <v>0</v>
          </cell>
          <cell r="D69">
            <v>161</v>
          </cell>
          <cell r="E69">
            <v>18</v>
          </cell>
          <cell r="F69">
            <v>2966</v>
          </cell>
          <cell r="G69">
            <v>142</v>
          </cell>
          <cell r="H69">
            <v>3108</v>
          </cell>
          <cell r="I69">
            <v>26.8</v>
          </cell>
          <cell r="J69" t="str">
            <v>O</v>
          </cell>
        </row>
        <row r="70">
          <cell r="A70" t="str">
            <v>HFCA10CNN2NBDR-00</v>
          </cell>
          <cell r="B70">
            <v>3875</v>
          </cell>
          <cell r="C70">
            <v>0</v>
          </cell>
          <cell r="D70">
            <v>235</v>
          </cell>
          <cell r="E70">
            <v>26</v>
          </cell>
          <cell r="F70">
            <v>4136</v>
          </cell>
          <cell r="G70">
            <v>207</v>
          </cell>
          <cell r="H70">
            <v>4343</v>
          </cell>
          <cell r="I70">
            <v>39.1</v>
          </cell>
          <cell r="J70" t="str">
            <v>O</v>
          </cell>
        </row>
        <row r="71">
          <cell r="A71" t="str">
            <v>HFCA12CNN2NBDR-00</v>
          </cell>
          <cell r="B71">
            <v>4225</v>
          </cell>
          <cell r="C71">
            <v>0</v>
          </cell>
          <cell r="D71">
            <v>244</v>
          </cell>
          <cell r="E71">
            <v>27</v>
          </cell>
          <cell r="F71">
            <v>4496</v>
          </cell>
          <cell r="G71">
            <v>215</v>
          </cell>
          <cell r="H71">
            <v>4711</v>
          </cell>
          <cell r="I71">
            <v>40.6</v>
          </cell>
          <cell r="J71" t="str">
            <v>O</v>
          </cell>
        </row>
        <row r="72">
          <cell r="A72" t="str">
            <v>HFCA14CNN2NBDR-00</v>
          </cell>
          <cell r="B72">
            <v>4368</v>
          </cell>
          <cell r="C72">
            <v>0</v>
          </cell>
          <cell r="D72">
            <v>244</v>
          </cell>
          <cell r="E72">
            <v>27</v>
          </cell>
          <cell r="F72">
            <v>4639</v>
          </cell>
          <cell r="G72">
            <v>215</v>
          </cell>
          <cell r="H72">
            <v>4854</v>
          </cell>
          <cell r="I72">
            <v>40.6</v>
          </cell>
          <cell r="J72" t="str">
            <v>O</v>
          </cell>
        </row>
        <row r="73">
          <cell r="A73" t="str">
            <v>W/ RETURN PLENUM &amp;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HFCA03CNN2NBER-00</v>
          </cell>
          <cell r="B74">
            <v>1784</v>
          </cell>
          <cell r="C74">
            <v>0</v>
          </cell>
          <cell r="D74">
            <v>149</v>
          </cell>
          <cell r="E74">
            <v>16</v>
          </cell>
          <cell r="F74">
            <v>1949</v>
          </cell>
          <cell r="G74">
            <v>131</v>
          </cell>
          <cell r="H74">
            <v>2080</v>
          </cell>
          <cell r="I74">
            <v>24.8</v>
          </cell>
        </row>
        <row r="75">
          <cell r="A75" t="str">
            <v>HFCA04CNN2NBER-00</v>
          </cell>
          <cell r="B75">
            <v>1941</v>
          </cell>
          <cell r="C75">
            <v>0</v>
          </cell>
          <cell r="D75">
            <v>149</v>
          </cell>
          <cell r="E75">
            <v>16</v>
          </cell>
          <cell r="F75">
            <v>2106</v>
          </cell>
          <cell r="G75">
            <v>131</v>
          </cell>
          <cell r="H75">
            <v>2237</v>
          </cell>
          <cell r="I75">
            <v>24.8</v>
          </cell>
        </row>
        <row r="76">
          <cell r="A76" t="str">
            <v>HFCA06CNN2NBER-00</v>
          </cell>
          <cell r="B76">
            <v>2353</v>
          </cell>
          <cell r="C76">
            <v>0</v>
          </cell>
          <cell r="D76">
            <v>161</v>
          </cell>
          <cell r="E76">
            <v>18</v>
          </cell>
          <cell r="F76">
            <v>2532</v>
          </cell>
          <cell r="G76">
            <v>142</v>
          </cell>
          <cell r="H76">
            <v>2674</v>
          </cell>
          <cell r="I76">
            <v>26.8</v>
          </cell>
        </row>
        <row r="77">
          <cell r="A77" t="str">
            <v>HFCA08CNN2NBER-00</v>
          </cell>
          <cell r="B77">
            <v>2708</v>
          </cell>
          <cell r="C77">
            <v>0</v>
          </cell>
          <cell r="D77">
            <v>161</v>
          </cell>
          <cell r="E77">
            <v>18</v>
          </cell>
          <cell r="F77">
            <v>2887</v>
          </cell>
          <cell r="G77">
            <v>142</v>
          </cell>
          <cell r="H77">
            <v>3029</v>
          </cell>
          <cell r="I77">
            <v>26.8</v>
          </cell>
        </row>
        <row r="78">
          <cell r="A78" t="str">
            <v>HFCA10CNN2NBER-00</v>
          </cell>
          <cell r="B78">
            <v>3794</v>
          </cell>
          <cell r="C78">
            <v>0</v>
          </cell>
          <cell r="D78">
            <v>234</v>
          </cell>
          <cell r="E78">
            <v>26</v>
          </cell>
          <cell r="F78">
            <v>4054</v>
          </cell>
          <cell r="G78">
            <v>206</v>
          </cell>
          <cell r="H78">
            <v>4260</v>
          </cell>
          <cell r="I78">
            <v>39.1</v>
          </cell>
        </row>
        <row r="79">
          <cell r="A79" t="str">
            <v>HFCA12CNN2NBER-00</v>
          </cell>
          <cell r="B79">
            <v>4137</v>
          </cell>
          <cell r="C79">
            <v>0</v>
          </cell>
          <cell r="D79">
            <v>243</v>
          </cell>
          <cell r="E79">
            <v>27</v>
          </cell>
          <cell r="F79">
            <v>4407</v>
          </cell>
          <cell r="G79">
            <v>214</v>
          </cell>
          <cell r="H79">
            <v>4621</v>
          </cell>
          <cell r="I79">
            <v>40.6</v>
          </cell>
        </row>
        <row r="80">
          <cell r="A80" t="str">
            <v>HFCA14CNN2NBER-00</v>
          </cell>
          <cell r="B80">
            <v>4151</v>
          </cell>
          <cell r="C80">
            <v>0</v>
          </cell>
          <cell r="D80">
            <v>243</v>
          </cell>
          <cell r="E80">
            <v>27</v>
          </cell>
          <cell r="F80">
            <v>4421</v>
          </cell>
          <cell r="G80">
            <v>214</v>
          </cell>
          <cell r="H80">
            <v>4635</v>
          </cell>
          <cell r="I80">
            <v>40.6</v>
          </cell>
        </row>
        <row r="81">
          <cell r="A81" t="str">
            <v>STAINLESS STEEL DR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HFCA03CNN2NDNR-00</v>
          </cell>
          <cell r="B82">
            <v>1722</v>
          </cell>
          <cell r="C82">
            <v>0</v>
          </cell>
          <cell r="D82">
            <v>142</v>
          </cell>
          <cell r="E82">
            <v>16</v>
          </cell>
          <cell r="F82">
            <v>1880</v>
          </cell>
          <cell r="G82">
            <v>125</v>
          </cell>
          <cell r="H82">
            <v>2005</v>
          </cell>
          <cell r="I82">
            <v>23.7</v>
          </cell>
          <cell r="J82" t="str">
            <v>O</v>
          </cell>
        </row>
        <row r="83">
          <cell r="A83" t="str">
            <v>HFCA04CNN2NDNR-00</v>
          </cell>
          <cell r="B83">
            <v>1893</v>
          </cell>
          <cell r="C83">
            <v>0</v>
          </cell>
          <cell r="D83">
            <v>142</v>
          </cell>
          <cell r="E83">
            <v>16</v>
          </cell>
          <cell r="F83">
            <v>2051</v>
          </cell>
          <cell r="G83">
            <v>125</v>
          </cell>
          <cell r="H83">
            <v>2176</v>
          </cell>
          <cell r="I83">
            <v>23.7</v>
          </cell>
          <cell r="J83" t="str">
            <v>O</v>
          </cell>
        </row>
        <row r="84">
          <cell r="A84" t="str">
            <v>HFCA06CNN2NDNR-00</v>
          </cell>
          <cell r="B84">
            <v>2289</v>
          </cell>
          <cell r="C84">
            <v>0</v>
          </cell>
          <cell r="D84">
            <v>153</v>
          </cell>
          <cell r="E84">
            <v>17</v>
          </cell>
          <cell r="F84">
            <v>2459</v>
          </cell>
          <cell r="G84">
            <v>135</v>
          </cell>
          <cell r="H84">
            <v>2594</v>
          </cell>
          <cell r="I84">
            <v>25.52</v>
          </cell>
          <cell r="J84" t="str">
            <v>O</v>
          </cell>
        </row>
        <row r="85">
          <cell r="A85" t="str">
            <v>HFCA08CNN2NDNR-00</v>
          </cell>
          <cell r="B85">
            <v>2629</v>
          </cell>
          <cell r="C85">
            <v>0</v>
          </cell>
          <cell r="D85">
            <v>153</v>
          </cell>
          <cell r="E85">
            <v>17</v>
          </cell>
          <cell r="F85">
            <v>2799</v>
          </cell>
          <cell r="G85">
            <v>135</v>
          </cell>
          <cell r="H85">
            <v>2934</v>
          </cell>
          <cell r="I85">
            <v>25.52</v>
          </cell>
          <cell r="J85" t="str">
            <v>O</v>
          </cell>
        </row>
        <row r="86">
          <cell r="A86" t="str">
            <v>HFCA10CNN2NDNR-00</v>
          </cell>
          <cell r="B86">
            <v>3695</v>
          </cell>
          <cell r="C86">
            <v>0</v>
          </cell>
          <cell r="D86">
            <v>229</v>
          </cell>
          <cell r="E86">
            <v>25</v>
          </cell>
          <cell r="F86">
            <v>3949</v>
          </cell>
          <cell r="G86">
            <v>202</v>
          </cell>
          <cell r="H86">
            <v>4151</v>
          </cell>
          <cell r="I86">
            <v>38.130000000000003</v>
          </cell>
          <cell r="J86" t="str">
            <v>O</v>
          </cell>
        </row>
        <row r="87">
          <cell r="A87" t="str">
            <v>HFCA12CNN2NDNR-00</v>
          </cell>
          <cell r="B87">
            <v>4003</v>
          </cell>
          <cell r="C87">
            <v>0</v>
          </cell>
          <cell r="D87">
            <v>242</v>
          </cell>
          <cell r="E87">
            <v>27</v>
          </cell>
          <cell r="F87">
            <v>4272</v>
          </cell>
          <cell r="G87">
            <v>213</v>
          </cell>
          <cell r="H87">
            <v>4485</v>
          </cell>
          <cell r="I87">
            <v>40.270000000000003</v>
          </cell>
          <cell r="J87" t="str">
            <v>O</v>
          </cell>
        </row>
        <row r="88">
          <cell r="A88" t="str">
            <v>HFCA14CNN2NDNR-00</v>
          </cell>
          <cell r="B88">
            <v>4103</v>
          </cell>
          <cell r="C88">
            <v>0</v>
          </cell>
          <cell r="D88">
            <v>242</v>
          </cell>
          <cell r="E88">
            <v>27</v>
          </cell>
          <cell r="F88">
            <v>4372</v>
          </cell>
          <cell r="G88">
            <v>213</v>
          </cell>
          <cell r="H88">
            <v>4585</v>
          </cell>
          <cell r="I88">
            <v>40.270000000000003</v>
          </cell>
          <cell r="J88" t="str">
            <v>O</v>
          </cell>
        </row>
        <row r="89">
          <cell r="A89" t="str">
            <v>GALVANIZED DRAIN P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HFCA03CNN2NANR-00</v>
          </cell>
          <cell r="B90">
            <v>1504</v>
          </cell>
          <cell r="C90">
            <v>0</v>
          </cell>
          <cell r="D90">
            <v>142</v>
          </cell>
          <cell r="E90">
            <v>16</v>
          </cell>
          <cell r="F90">
            <v>1662</v>
          </cell>
          <cell r="G90">
            <v>125</v>
          </cell>
          <cell r="H90">
            <v>1787</v>
          </cell>
          <cell r="I90">
            <v>23.7</v>
          </cell>
          <cell r="J90" t="str">
            <v>O</v>
          </cell>
        </row>
        <row r="91">
          <cell r="A91" t="str">
            <v>HFCA04CNN2NANR-00</v>
          </cell>
          <cell r="B91">
            <v>1650</v>
          </cell>
          <cell r="C91">
            <v>0</v>
          </cell>
          <cell r="D91">
            <v>142</v>
          </cell>
          <cell r="E91">
            <v>16</v>
          </cell>
          <cell r="F91">
            <v>1808</v>
          </cell>
          <cell r="G91">
            <v>125</v>
          </cell>
          <cell r="H91">
            <v>1933</v>
          </cell>
          <cell r="I91">
            <v>23.7</v>
          </cell>
          <cell r="J91" t="str">
            <v>O</v>
          </cell>
        </row>
        <row r="92">
          <cell r="A92" t="str">
            <v>HFCA06CNN2NANR-00</v>
          </cell>
          <cell r="B92">
            <v>2023</v>
          </cell>
          <cell r="C92">
            <v>0</v>
          </cell>
          <cell r="D92">
            <v>153</v>
          </cell>
          <cell r="E92">
            <v>17</v>
          </cell>
          <cell r="F92">
            <v>2193</v>
          </cell>
          <cell r="G92">
            <v>135</v>
          </cell>
          <cell r="H92">
            <v>2328</v>
          </cell>
          <cell r="I92">
            <v>25.52</v>
          </cell>
          <cell r="J92" t="str">
            <v>O</v>
          </cell>
        </row>
        <row r="93">
          <cell r="A93" t="str">
            <v>HFCA08CNN2NANR-00</v>
          </cell>
          <cell r="B93">
            <v>2291</v>
          </cell>
          <cell r="C93">
            <v>0</v>
          </cell>
          <cell r="D93">
            <v>153</v>
          </cell>
          <cell r="E93">
            <v>17</v>
          </cell>
          <cell r="F93">
            <v>2461</v>
          </cell>
          <cell r="G93">
            <v>135</v>
          </cell>
          <cell r="H93">
            <v>2596</v>
          </cell>
          <cell r="I93">
            <v>25.52</v>
          </cell>
          <cell r="J93" t="str">
            <v>O</v>
          </cell>
        </row>
        <row r="94">
          <cell r="A94" t="str">
            <v>HFCA10CNN2NANR-00</v>
          </cell>
          <cell r="B94">
            <v>3335</v>
          </cell>
          <cell r="C94">
            <v>0</v>
          </cell>
          <cell r="D94">
            <v>229</v>
          </cell>
          <cell r="E94">
            <v>25</v>
          </cell>
          <cell r="F94">
            <v>3589</v>
          </cell>
          <cell r="G94">
            <v>202</v>
          </cell>
          <cell r="H94">
            <v>3791</v>
          </cell>
          <cell r="I94">
            <v>38.130000000000003</v>
          </cell>
          <cell r="J94" t="str">
            <v>O</v>
          </cell>
        </row>
        <row r="95">
          <cell r="A95" t="str">
            <v>HFCA12CNN2NANR-00</v>
          </cell>
          <cell r="B95">
            <v>3617</v>
          </cell>
          <cell r="C95">
            <v>0</v>
          </cell>
          <cell r="D95">
            <v>242</v>
          </cell>
          <cell r="E95">
            <v>27</v>
          </cell>
          <cell r="F95">
            <v>3886</v>
          </cell>
          <cell r="G95">
            <v>213</v>
          </cell>
          <cell r="H95">
            <v>4099</v>
          </cell>
          <cell r="I95">
            <v>40.270000000000003</v>
          </cell>
          <cell r="J95" t="str">
            <v>O</v>
          </cell>
        </row>
        <row r="96">
          <cell r="A96" t="str">
            <v>HFCA14CNN2NANR-00</v>
          </cell>
          <cell r="B96">
            <v>3708</v>
          </cell>
          <cell r="C96">
            <v>0</v>
          </cell>
          <cell r="D96">
            <v>242</v>
          </cell>
          <cell r="E96">
            <v>27</v>
          </cell>
          <cell r="F96">
            <v>3977</v>
          </cell>
          <cell r="G96">
            <v>213</v>
          </cell>
          <cell r="H96">
            <v>4190</v>
          </cell>
          <cell r="I96">
            <v>40.270000000000003</v>
          </cell>
          <cell r="J96" t="str">
            <v>O</v>
          </cell>
        </row>
        <row r="97">
          <cell r="A97" t="str">
            <v>STAINLESS STEEL DR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HFCA03CNN2NCNR-00</v>
          </cell>
          <cell r="B98">
            <v>1659</v>
          </cell>
          <cell r="C98">
            <v>0</v>
          </cell>
          <cell r="D98">
            <v>142</v>
          </cell>
          <cell r="E98">
            <v>16</v>
          </cell>
          <cell r="F98">
            <v>1817</v>
          </cell>
          <cell r="G98">
            <v>125</v>
          </cell>
          <cell r="H98">
            <v>1942</v>
          </cell>
          <cell r="I98">
            <v>23.7</v>
          </cell>
        </row>
        <row r="99">
          <cell r="A99" t="str">
            <v>HFCA04CNN2NCNR-00</v>
          </cell>
          <cell r="B99">
            <v>1823</v>
          </cell>
          <cell r="C99">
            <v>0</v>
          </cell>
          <cell r="D99">
            <v>142</v>
          </cell>
          <cell r="E99">
            <v>16</v>
          </cell>
          <cell r="F99">
            <v>1981</v>
          </cell>
          <cell r="G99">
            <v>125</v>
          </cell>
          <cell r="H99">
            <v>2106</v>
          </cell>
          <cell r="I99">
            <v>23.7</v>
          </cell>
          <cell r="J99" t="str">
            <v>O</v>
          </cell>
        </row>
        <row r="100">
          <cell r="A100" t="str">
            <v>HFCA06CNN2NCNR-00</v>
          </cell>
          <cell r="B100">
            <v>2205</v>
          </cell>
          <cell r="C100">
            <v>0</v>
          </cell>
          <cell r="D100">
            <v>153</v>
          </cell>
          <cell r="E100">
            <v>17</v>
          </cell>
          <cell r="F100">
            <v>2375</v>
          </cell>
          <cell r="G100">
            <v>135</v>
          </cell>
          <cell r="H100">
            <v>2510</v>
          </cell>
          <cell r="I100">
            <v>25.52</v>
          </cell>
        </row>
        <row r="101">
          <cell r="A101" t="str">
            <v>HFCA08CNN2NCNR-00</v>
          </cell>
          <cell r="B101">
            <v>2504</v>
          </cell>
          <cell r="C101">
            <v>0</v>
          </cell>
          <cell r="D101">
            <v>153</v>
          </cell>
          <cell r="E101">
            <v>17</v>
          </cell>
          <cell r="F101">
            <v>2674</v>
          </cell>
          <cell r="G101">
            <v>135</v>
          </cell>
          <cell r="H101">
            <v>2809</v>
          </cell>
          <cell r="I101">
            <v>25.52</v>
          </cell>
          <cell r="J101" t="str">
            <v>O</v>
          </cell>
        </row>
        <row r="102">
          <cell r="A102" t="str">
            <v>HFCA10CNN2NCNR-00</v>
          </cell>
          <cell r="B102">
            <v>3591</v>
          </cell>
          <cell r="C102">
            <v>0</v>
          </cell>
          <cell r="D102">
            <v>228</v>
          </cell>
          <cell r="E102">
            <v>25</v>
          </cell>
          <cell r="F102">
            <v>3844</v>
          </cell>
          <cell r="G102">
            <v>201</v>
          </cell>
          <cell r="H102">
            <v>4045</v>
          </cell>
          <cell r="I102">
            <v>38.130000000000003</v>
          </cell>
          <cell r="J102" t="str">
            <v>O</v>
          </cell>
        </row>
        <row r="103">
          <cell r="A103" t="str">
            <v>HFCA12CNN2NCNR-00</v>
          </cell>
          <cell r="B103">
            <v>3911</v>
          </cell>
          <cell r="C103">
            <v>0</v>
          </cell>
          <cell r="D103">
            <v>241</v>
          </cell>
          <cell r="E103">
            <v>27</v>
          </cell>
          <cell r="F103">
            <v>4179</v>
          </cell>
          <cell r="G103">
            <v>212</v>
          </cell>
          <cell r="H103">
            <v>4391</v>
          </cell>
          <cell r="I103">
            <v>40.270000000000003</v>
          </cell>
          <cell r="J103" t="str">
            <v>O</v>
          </cell>
        </row>
        <row r="104">
          <cell r="A104" t="str">
            <v>HFCA14CNN2NCNR-00</v>
          </cell>
          <cell r="B104">
            <v>4077</v>
          </cell>
          <cell r="C104">
            <v>0</v>
          </cell>
          <cell r="D104">
            <v>241</v>
          </cell>
          <cell r="E104">
            <v>27</v>
          </cell>
          <cell r="F104">
            <v>4345</v>
          </cell>
          <cell r="G104">
            <v>212</v>
          </cell>
          <cell r="H104">
            <v>4557</v>
          </cell>
          <cell r="I104">
            <v>40.270000000000003</v>
          </cell>
        </row>
        <row r="105">
          <cell r="A105" t="str">
            <v>GALVANIZED DRAIN P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HFCA03CNN2NFNR-00</v>
          </cell>
          <cell r="B106">
            <v>1584</v>
          </cell>
          <cell r="C106">
            <v>0</v>
          </cell>
          <cell r="D106">
            <v>142</v>
          </cell>
          <cell r="E106">
            <v>16</v>
          </cell>
          <cell r="F106">
            <v>1742</v>
          </cell>
          <cell r="G106">
            <v>125</v>
          </cell>
          <cell r="H106">
            <v>1867</v>
          </cell>
          <cell r="I106">
            <v>23.7</v>
          </cell>
        </row>
        <row r="107">
          <cell r="A107" t="str">
            <v>HFCA04CNN2NFNR-00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HFCA06CNN2NFNR-00</v>
          </cell>
          <cell r="B108">
            <v>2124</v>
          </cell>
          <cell r="C108">
            <v>0</v>
          </cell>
          <cell r="D108">
            <v>153</v>
          </cell>
          <cell r="E108">
            <v>17</v>
          </cell>
          <cell r="F108">
            <v>2294</v>
          </cell>
          <cell r="G108">
            <v>135</v>
          </cell>
          <cell r="H108">
            <v>2429</v>
          </cell>
          <cell r="I108">
            <v>25.52</v>
          </cell>
        </row>
        <row r="109">
          <cell r="A109" t="str">
            <v>HFCA08CNN2NFNR-00</v>
          </cell>
          <cell r="B109">
            <v>2422</v>
          </cell>
          <cell r="C109">
            <v>0</v>
          </cell>
          <cell r="D109">
            <v>153</v>
          </cell>
          <cell r="E109">
            <v>17</v>
          </cell>
          <cell r="F109">
            <v>2592</v>
          </cell>
          <cell r="G109">
            <v>135</v>
          </cell>
          <cell r="H109">
            <v>2727</v>
          </cell>
          <cell r="I109">
            <v>25.52</v>
          </cell>
        </row>
        <row r="110">
          <cell r="A110" t="str">
            <v>HFCA10CNN2NFNR-00</v>
          </cell>
          <cell r="B110">
            <v>3475</v>
          </cell>
          <cell r="C110">
            <v>0</v>
          </cell>
          <cell r="D110">
            <v>228</v>
          </cell>
          <cell r="E110">
            <v>25</v>
          </cell>
          <cell r="F110">
            <v>3728</v>
          </cell>
          <cell r="G110">
            <v>201</v>
          </cell>
          <cell r="H110">
            <v>3929</v>
          </cell>
          <cell r="I110">
            <v>38.130000000000003</v>
          </cell>
        </row>
        <row r="111">
          <cell r="A111" t="str">
            <v>HFCA12CNN2NFNR-00</v>
          </cell>
          <cell r="B111">
            <v>3767</v>
          </cell>
          <cell r="C111">
            <v>0</v>
          </cell>
          <cell r="D111">
            <v>241</v>
          </cell>
          <cell r="E111">
            <v>27</v>
          </cell>
          <cell r="F111">
            <v>4035</v>
          </cell>
          <cell r="G111">
            <v>212</v>
          </cell>
          <cell r="H111">
            <v>4247</v>
          </cell>
          <cell r="I111">
            <v>40.270000000000003</v>
          </cell>
        </row>
        <row r="112">
          <cell r="A112" t="str">
            <v>HFCA14CNN2NFNR-00</v>
          </cell>
          <cell r="B112">
            <v>3875</v>
          </cell>
          <cell r="C112">
            <v>0</v>
          </cell>
          <cell r="D112">
            <v>241</v>
          </cell>
          <cell r="E112">
            <v>27</v>
          </cell>
          <cell r="F112">
            <v>4143</v>
          </cell>
          <cell r="G112">
            <v>212</v>
          </cell>
          <cell r="H112">
            <v>4355</v>
          </cell>
          <cell r="I112">
            <v>40.270000000000003</v>
          </cell>
        </row>
        <row r="113">
          <cell r="A113" t="str">
            <v>HIGH STATIC PRESSU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HFCA03CNH2NBNR-00</v>
          </cell>
          <cell r="B114">
            <v>1591</v>
          </cell>
          <cell r="C114">
            <v>0</v>
          </cell>
          <cell r="D114">
            <v>142</v>
          </cell>
          <cell r="E114">
            <v>16</v>
          </cell>
          <cell r="F114">
            <v>1749</v>
          </cell>
          <cell r="G114">
            <v>125</v>
          </cell>
          <cell r="H114">
            <v>1874</v>
          </cell>
          <cell r="I114">
            <v>23.7</v>
          </cell>
          <cell r="J114" t="str">
            <v>O</v>
          </cell>
        </row>
        <row r="115">
          <cell r="A115" t="str">
            <v>HFCA04CNH2NBNR-00</v>
          </cell>
          <cell r="B115">
            <v>1738</v>
          </cell>
          <cell r="C115">
            <v>0</v>
          </cell>
          <cell r="D115">
            <v>142</v>
          </cell>
          <cell r="E115">
            <v>16</v>
          </cell>
          <cell r="F115">
            <v>1896</v>
          </cell>
          <cell r="G115">
            <v>125</v>
          </cell>
          <cell r="H115">
            <v>2021</v>
          </cell>
          <cell r="I115">
            <v>23.7</v>
          </cell>
          <cell r="J115" t="str">
            <v>O</v>
          </cell>
        </row>
        <row r="116">
          <cell r="A116" t="str">
            <v>HFCA06CNH2NBNR-00</v>
          </cell>
          <cell r="B116">
            <v>2123</v>
          </cell>
          <cell r="C116">
            <v>0</v>
          </cell>
          <cell r="D116">
            <v>153</v>
          </cell>
          <cell r="E116">
            <v>17</v>
          </cell>
          <cell r="F116">
            <v>2293</v>
          </cell>
          <cell r="G116">
            <v>135</v>
          </cell>
          <cell r="H116">
            <v>2428</v>
          </cell>
          <cell r="I116">
            <v>25.52</v>
          </cell>
          <cell r="J116" t="str">
            <v>O</v>
          </cell>
        </row>
        <row r="117">
          <cell r="A117" t="str">
            <v>HFCA08CNH2NBNR-00</v>
          </cell>
          <cell r="B117">
            <v>2430</v>
          </cell>
          <cell r="C117">
            <v>0</v>
          </cell>
          <cell r="D117">
            <v>153</v>
          </cell>
          <cell r="E117">
            <v>17</v>
          </cell>
          <cell r="F117">
            <v>2600</v>
          </cell>
          <cell r="G117">
            <v>135</v>
          </cell>
          <cell r="H117">
            <v>2735</v>
          </cell>
          <cell r="I117">
            <v>25.52</v>
          </cell>
          <cell r="J117" t="str">
            <v>O</v>
          </cell>
        </row>
        <row r="118">
          <cell r="A118" t="str">
            <v>HFCA10CNH2NBNR-00</v>
          </cell>
          <cell r="B118">
            <v>3489</v>
          </cell>
          <cell r="C118">
            <v>0</v>
          </cell>
          <cell r="D118">
            <v>229</v>
          </cell>
          <cell r="E118">
            <v>25</v>
          </cell>
          <cell r="F118">
            <v>3743</v>
          </cell>
          <cell r="G118">
            <v>202</v>
          </cell>
          <cell r="H118">
            <v>3945</v>
          </cell>
          <cell r="I118">
            <v>38.130000000000003</v>
          </cell>
          <cell r="J118" t="str">
            <v>O</v>
          </cell>
        </row>
        <row r="119">
          <cell r="A119" t="str">
            <v>HFCA12CNH2NBNR-00</v>
          </cell>
          <cell r="B119">
            <v>3786</v>
          </cell>
          <cell r="C119">
            <v>0</v>
          </cell>
          <cell r="D119">
            <v>242</v>
          </cell>
          <cell r="E119">
            <v>27</v>
          </cell>
          <cell r="F119">
            <v>4055</v>
          </cell>
          <cell r="G119">
            <v>213</v>
          </cell>
          <cell r="H119">
            <v>4268</v>
          </cell>
          <cell r="I119">
            <v>40.270000000000003</v>
          </cell>
          <cell r="J119" t="str">
            <v>O</v>
          </cell>
        </row>
        <row r="120">
          <cell r="A120" t="str">
            <v>HFCA14CNH2NBNR-00</v>
          </cell>
          <cell r="B120">
            <v>3922</v>
          </cell>
          <cell r="C120">
            <v>0</v>
          </cell>
          <cell r="D120">
            <v>242</v>
          </cell>
          <cell r="E120">
            <v>27</v>
          </cell>
          <cell r="F120">
            <v>4191</v>
          </cell>
          <cell r="G120">
            <v>213</v>
          </cell>
          <cell r="H120">
            <v>4404</v>
          </cell>
          <cell r="I120">
            <v>40.270000000000003</v>
          </cell>
          <cell r="J120" t="str">
            <v>O</v>
          </cell>
        </row>
        <row r="121">
          <cell r="A121" t="str">
            <v>HFCA03CNH5NBNR-00</v>
          </cell>
          <cell r="B121">
            <v>1554</v>
          </cell>
          <cell r="C121">
            <v>0</v>
          </cell>
          <cell r="D121">
            <v>142</v>
          </cell>
          <cell r="E121">
            <v>16</v>
          </cell>
          <cell r="F121">
            <v>1712</v>
          </cell>
          <cell r="G121">
            <v>125</v>
          </cell>
          <cell r="H121">
            <v>1837</v>
          </cell>
          <cell r="I121">
            <v>23.7</v>
          </cell>
          <cell r="J121" t="str">
            <v>O</v>
          </cell>
        </row>
        <row r="122">
          <cell r="A122" t="str">
            <v>HFCA04CNH5NBNR-00</v>
          </cell>
          <cell r="B122">
            <v>1701</v>
          </cell>
          <cell r="C122">
            <v>0</v>
          </cell>
          <cell r="D122">
            <v>142</v>
          </cell>
          <cell r="E122">
            <v>16</v>
          </cell>
          <cell r="F122">
            <v>1859</v>
          </cell>
          <cell r="G122">
            <v>125</v>
          </cell>
          <cell r="H122">
            <v>1984</v>
          </cell>
          <cell r="I122">
            <v>23.7</v>
          </cell>
          <cell r="J122" t="str">
            <v>O</v>
          </cell>
        </row>
        <row r="123">
          <cell r="A123" t="str">
            <v>HFCA06CNH5NBNR-00</v>
          </cell>
          <cell r="B123">
            <v>2094</v>
          </cell>
          <cell r="C123">
            <v>0</v>
          </cell>
          <cell r="D123">
            <v>153</v>
          </cell>
          <cell r="E123">
            <v>17</v>
          </cell>
          <cell r="F123">
            <v>2264</v>
          </cell>
          <cell r="G123">
            <v>135</v>
          </cell>
          <cell r="H123">
            <v>2399</v>
          </cell>
          <cell r="I123">
            <v>25.52</v>
          </cell>
          <cell r="J123" t="str">
            <v>O</v>
          </cell>
        </row>
        <row r="124">
          <cell r="A124" t="str">
            <v>HFCA08CNH5NBNR-00</v>
          </cell>
          <cell r="B124">
            <v>2430</v>
          </cell>
          <cell r="C124">
            <v>0</v>
          </cell>
          <cell r="D124">
            <v>153</v>
          </cell>
          <cell r="E124">
            <v>17</v>
          </cell>
          <cell r="F124">
            <v>2600</v>
          </cell>
          <cell r="G124">
            <v>135</v>
          </cell>
          <cell r="H124">
            <v>2735</v>
          </cell>
          <cell r="I124">
            <v>25.52</v>
          </cell>
          <cell r="J124" t="str">
            <v>O</v>
          </cell>
        </row>
        <row r="125">
          <cell r="A125" t="str">
            <v>HFCA10CNH5NBNR-00</v>
          </cell>
          <cell r="B125">
            <v>3423</v>
          </cell>
          <cell r="C125">
            <v>0</v>
          </cell>
          <cell r="D125">
            <v>229</v>
          </cell>
          <cell r="E125">
            <v>25</v>
          </cell>
          <cell r="F125">
            <v>3677</v>
          </cell>
          <cell r="G125">
            <v>202</v>
          </cell>
          <cell r="H125">
            <v>3879</v>
          </cell>
          <cell r="I125">
            <v>38.130000000000003</v>
          </cell>
          <cell r="J125" t="str">
            <v>O</v>
          </cell>
        </row>
        <row r="126">
          <cell r="A126" t="str">
            <v>HFCA12CNH5NBNR-00</v>
          </cell>
          <cell r="B126">
            <v>3728</v>
          </cell>
          <cell r="C126">
            <v>0</v>
          </cell>
          <cell r="D126">
            <v>242</v>
          </cell>
          <cell r="E126">
            <v>27</v>
          </cell>
          <cell r="F126">
            <v>3997</v>
          </cell>
          <cell r="G126">
            <v>213</v>
          </cell>
          <cell r="H126">
            <v>4210</v>
          </cell>
          <cell r="I126">
            <v>40.270000000000003</v>
          </cell>
          <cell r="J126" t="str">
            <v>O</v>
          </cell>
        </row>
        <row r="127">
          <cell r="A127" t="str">
            <v>HFCA14CNH5NBNR-00</v>
          </cell>
          <cell r="B127">
            <v>3922</v>
          </cell>
          <cell r="C127">
            <v>0</v>
          </cell>
          <cell r="D127">
            <v>242</v>
          </cell>
          <cell r="E127">
            <v>27</v>
          </cell>
          <cell r="F127">
            <v>4191</v>
          </cell>
          <cell r="G127">
            <v>213</v>
          </cell>
          <cell r="H127">
            <v>4404</v>
          </cell>
          <cell r="I127">
            <v>40.270000000000003</v>
          </cell>
          <cell r="J127" t="str">
            <v>O</v>
          </cell>
        </row>
        <row r="128">
          <cell r="A128" t="str">
            <v>2-WAY VALVE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HFCA03CNN2BBNR-00</v>
          </cell>
          <cell r="B129">
            <v>2276</v>
          </cell>
          <cell r="C129">
            <v>0</v>
          </cell>
          <cell r="D129">
            <v>306</v>
          </cell>
          <cell r="E129">
            <v>34</v>
          </cell>
          <cell r="F129">
            <v>2616</v>
          </cell>
          <cell r="G129">
            <v>269</v>
          </cell>
          <cell r="H129">
            <v>2885</v>
          </cell>
          <cell r="I129">
            <v>51.04</v>
          </cell>
        </row>
        <row r="130">
          <cell r="A130" t="str">
            <v>HFCA04CNN2BBNR-00</v>
          </cell>
          <cell r="B130">
            <v>2433</v>
          </cell>
          <cell r="C130">
            <v>0</v>
          </cell>
          <cell r="D130">
            <v>306</v>
          </cell>
          <cell r="E130">
            <v>34</v>
          </cell>
          <cell r="F130">
            <v>2773</v>
          </cell>
          <cell r="G130">
            <v>269</v>
          </cell>
          <cell r="H130">
            <v>3042</v>
          </cell>
          <cell r="I130">
            <v>51.04</v>
          </cell>
        </row>
        <row r="131">
          <cell r="A131" t="str">
            <v>HFCA06CNN2BBNR-00</v>
          </cell>
          <cell r="B131">
            <v>2790</v>
          </cell>
          <cell r="C131">
            <v>0</v>
          </cell>
          <cell r="D131">
            <v>317</v>
          </cell>
          <cell r="E131">
            <v>35</v>
          </cell>
          <cell r="F131">
            <v>3142</v>
          </cell>
          <cell r="G131">
            <v>279</v>
          </cell>
          <cell r="H131">
            <v>3421</v>
          </cell>
          <cell r="I131">
            <v>52.86</v>
          </cell>
        </row>
        <row r="132">
          <cell r="A132" t="str">
            <v>HFCA08CNN2BBNR-00</v>
          </cell>
          <cell r="B132">
            <v>3070</v>
          </cell>
          <cell r="C132">
            <v>0</v>
          </cell>
          <cell r="D132">
            <v>317</v>
          </cell>
          <cell r="E132">
            <v>35</v>
          </cell>
          <cell r="F132">
            <v>3422</v>
          </cell>
          <cell r="G132">
            <v>279</v>
          </cell>
          <cell r="H132">
            <v>3701</v>
          </cell>
          <cell r="I132">
            <v>52.86</v>
          </cell>
        </row>
        <row r="133">
          <cell r="A133" t="str">
            <v>HFCA10CNN2BBNR-00</v>
          </cell>
          <cell r="B133">
            <v>4110</v>
          </cell>
          <cell r="C133">
            <v>0</v>
          </cell>
          <cell r="D133">
            <v>392</v>
          </cell>
          <cell r="E133">
            <v>43</v>
          </cell>
          <cell r="F133">
            <v>4545</v>
          </cell>
          <cell r="G133">
            <v>345</v>
          </cell>
          <cell r="H133">
            <v>4890</v>
          </cell>
          <cell r="I133">
            <v>65.47</v>
          </cell>
        </row>
        <row r="134">
          <cell r="A134" t="str">
            <v>HFCA12CNN2BBNR-00</v>
          </cell>
          <cell r="B134">
            <v>4386</v>
          </cell>
          <cell r="C134">
            <v>0</v>
          </cell>
          <cell r="D134">
            <v>405</v>
          </cell>
          <cell r="E134">
            <v>45</v>
          </cell>
          <cell r="F134">
            <v>4836</v>
          </cell>
          <cell r="G134">
            <v>356</v>
          </cell>
          <cell r="H134">
            <v>5192</v>
          </cell>
          <cell r="I134">
            <v>67.61</v>
          </cell>
        </row>
        <row r="135">
          <cell r="A135" t="str">
            <v>HFCA14CNN2BBNR-00</v>
          </cell>
          <cell r="B135">
            <v>4504</v>
          </cell>
          <cell r="C135">
            <v>0</v>
          </cell>
          <cell r="D135">
            <v>405</v>
          </cell>
          <cell r="E135">
            <v>45</v>
          </cell>
          <cell r="F135">
            <v>4954</v>
          </cell>
          <cell r="G135">
            <v>356</v>
          </cell>
          <cell r="H135">
            <v>5310</v>
          </cell>
          <cell r="I135">
            <v>67.61</v>
          </cell>
        </row>
        <row r="136">
          <cell r="A136" t="str">
            <v>3-WAY VALVE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HFCA03CNN2EBNR-00</v>
          </cell>
          <cell r="B137">
            <v>2457</v>
          </cell>
          <cell r="C137">
            <v>400</v>
          </cell>
          <cell r="D137">
            <v>283</v>
          </cell>
          <cell r="E137">
            <v>31</v>
          </cell>
          <cell r="F137">
            <v>3171</v>
          </cell>
          <cell r="G137">
            <v>249</v>
          </cell>
          <cell r="H137">
            <v>3420</v>
          </cell>
          <cell r="I137">
            <v>47.3</v>
          </cell>
        </row>
        <row r="138">
          <cell r="A138" t="str">
            <v>HFCA04CNN2EBNR-00</v>
          </cell>
          <cell r="B138">
            <v>2614</v>
          </cell>
          <cell r="C138">
            <v>400</v>
          </cell>
          <cell r="D138">
            <v>283</v>
          </cell>
          <cell r="E138">
            <v>31</v>
          </cell>
          <cell r="F138">
            <v>3328</v>
          </cell>
          <cell r="G138">
            <v>249</v>
          </cell>
          <cell r="H138">
            <v>3577</v>
          </cell>
          <cell r="I138">
            <v>47.3</v>
          </cell>
        </row>
        <row r="139">
          <cell r="A139" t="str">
            <v>HFCA06CNN2EBNR-00</v>
          </cell>
          <cell r="B139">
            <v>2971</v>
          </cell>
          <cell r="C139">
            <v>400</v>
          </cell>
          <cell r="D139">
            <v>294</v>
          </cell>
          <cell r="E139">
            <v>32</v>
          </cell>
          <cell r="F139">
            <v>3697</v>
          </cell>
          <cell r="G139">
            <v>259</v>
          </cell>
          <cell r="H139">
            <v>3956</v>
          </cell>
          <cell r="I139">
            <v>49.12</v>
          </cell>
        </row>
        <row r="140">
          <cell r="A140" t="str">
            <v>HFCA08CNN2EBNR-00</v>
          </cell>
          <cell r="B140">
            <v>3251</v>
          </cell>
          <cell r="C140">
            <v>400</v>
          </cell>
          <cell r="D140">
            <v>294</v>
          </cell>
          <cell r="E140">
            <v>32</v>
          </cell>
          <cell r="F140">
            <v>3977</v>
          </cell>
          <cell r="G140">
            <v>259</v>
          </cell>
          <cell r="H140">
            <v>4236</v>
          </cell>
          <cell r="I140">
            <v>49.12</v>
          </cell>
        </row>
        <row r="141">
          <cell r="A141" t="str">
            <v>HFCA10CNN2EBNR-00</v>
          </cell>
          <cell r="B141">
            <v>4291</v>
          </cell>
          <cell r="C141">
            <v>400</v>
          </cell>
          <cell r="D141">
            <v>370</v>
          </cell>
          <cell r="E141">
            <v>41</v>
          </cell>
          <cell r="F141">
            <v>5102</v>
          </cell>
          <cell r="G141">
            <v>326</v>
          </cell>
          <cell r="H141">
            <v>5428</v>
          </cell>
          <cell r="I141">
            <v>61.73</v>
          </cell>
        </row>
        <row r="142">
          <cell r="A142" t="str">
            <v>HFCA12CNN2EBNR-00</v>
          </cell>
          <cell r="B142">
            <v>4567</v>
          </cell>
          <cell r="C142">
            <v>400</v>
          </cell>
          <cell r="D142">
            <v>383</v>
          </cell>
          <cell r="E142">
            <v>42</v>
          </cell>
          <cell r="F142">
            <v>5392</v>
          </cell>
          <cell r="G142">
            <v>337</v>
          </cell>
          <cell r="H142">
            <v>5729</v>
          </cell>
          <cell r="I142">
            <v>63.87</v>
          </cell>
        </row>
        <row r="143">
          <cell r="A143" t="str">
            <v>HFCA14CNN2EBNR-00</v>
          </cell>
          <cell r="B143">
            <v>4685</v>
          </cell>
          <cell r="C143">
            <v>400</v>
          </cell>
          <cell r="D143">
            <v>383</v>
          </cell>
          <cell r="E143">
            <v>42</v>
          </cell>
          <cell r="F143">
            <v>5510</v>
          </cell>
          <cell r="G143">
            <v>337</v>
          </cell>
          <cell r="H143">
            <v>5847</v>
          </cell>
          <cell r="I143">
            <v>63.87</v>
          </cell>
        </row>
        <row r="144">
          <cell r="A144" t="str">
            <v>2-WAY VALVE W/ COO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HFCA03CNN2CBNR-00</v>
          </cell>
          <cell r="B145">
            <v>2686</v>
          </cell>
          <cell r="C145">
            <v>0</v>
          </cell>
          <cell r="D145">
            <v>306</v>
          </cell>
          <cell r="E145">
            <v>34</v>
          </cell>
          <cell r="F145">
            <v>3026</v>
          </cell>
          <cell r="G145">
            <v>269</v>
          </cell>
          <cell r="H145">
            <v>3295</v>
          </cell>
          <cell r="I145">
            <v>51.04</v>
          </cell>
        </row>
        <row r="146">
          <cell r="A146" t="str">
            <v>HFCA04CNN2CBNR-00</v>
          </cell>
          <cell r="B146">
            <v>2843</v>
          </cell>
          <cell r="C146">
            <v>0</v>
          </cell>
          <cell r="D146">
            <v>306</v>
          </cell>
          <cell r="E146">
            <v>34</v>
          </cell>
          <cell r="F146">
            <v>3183</v>
          </cell>
          <cell r="G146">
            <v>269</v>
          </cell>
          <cell r="H146">
            <v>3452</v>
          </cell>
          <cell r="I146">
            <v>51.04</v>
          </cell>
        </row>
        <row r="147">
          <cell r="A147" t="str">
            <v>HFCA06CNN2CBNR-00</v>
          </cell>
          <cell r="B147">
            <v>3200</v>
          </cell>
          <cell r="C147">
            <v>0</v>
          </cell>
          <cell r="D147">
            <v>317</v>
          </cell>
          <cell r="E147">
            <v>35</v>
          </cell>
          <cell r="F147">
            <v>3552</v>
          </cell>
          <cell r="G147">
            <v>279</v>
          </cell>
          <cell r="H147">
            <v>3831</v>
          </cell>
          <cell r="I147">
            <v>52.86</v>
          </cell>
        </row>
        <row r="148">
          <cell r="A148" t="str">
            <v>HFCA08CNN2CBNR-00</v>
          </cell>
          <cell r="B148">
            <v>3480</v>
          </cell>
          <cell r="C148">
            <v>0</v>
          </cell>
          <cell r="D148">
            <v>317</v>
          </cell>
          <cell r="E148">
            <v>35</v>
          </cell>
          <cell r="F148">
            <v>3832</v>
          </cell>
          <cell r="G148">
            <v>279</v>
          </cell>
          <cell r="H148">
            <v>4111</v>
          </cell>
          <cell r="I148">
            <v>52.86</v>
          </cell>
        </row>
        <row r="149">
          <cell r="A149" t="str">
            <v>HFCA10CNN2CBNR-00</v>
          </cell>
          <cell r="B149">
            <v>4520</v>
          </cell>
          <cell r="C149">
            <v>0</v>
          </cell>
          <cell r="D149">
            <v>392</v>
          </cell>
          <cell r="E149">
            <v>43</v>
          </cell>
          <cell r="F149">
            <v>4955</v>
          </cell>
          <cell r="G149">
            <v>345</v>
          </cell>
          <cell r="H149">
            <v>5300</v>
          </cell>
          <cell r="I149">
            <v>65.47</v>
          </cell>
        </row>
        <row r="150">
          <cell r="A150" t="str">
            <v>HFCA12CNN2CBNR-00</v>
          </cell>
          <cell r="B150">
            <v>4796</v>
          </cell>
          <cell r="C150">
            <v>0</v>
          </cell>
          <cell r="D150">
            <v>405</v>
          </cell>
          <cell r="E150">
            <v>45</v>
          </cell>
          <cell r="F150">
            <v>5246</v>
          </cell>
          <cell r="G150">
            <v>356</v>
          </cell>
          <cell r="H150">
            <v>5602</v>
          </cell>
          <cell r="I150">
            <v>67.61</v>
          </cell>
        </row>
        <row r="151">
          <cell r="A151" t="str">
            <v>HFCA14CNN2CBNR-00</v>
          </cell>
          <cell r="B151">
            <v>4914</v>
          </cell>
          <cell r="C151">
            <v>0</v>
          </cell>
          <cell r="D151">
            <v>405</v>
          </cell>
          <cell r="E151">
            <v>45</v>
          </cell>
          <cell r="F151">
            <v>5364</v>
          </cell>
          <cell r="G151">
            <v>356</v>
          </cell>
          <cell r="H151">
            <v>5720</v>
          </cell>
          <cell r="I151">
            <v>67.61</v>
          </cell>
        </row>
        <row r="152">
          <cell r="A152" t="str">
            <v>3-WAY VALVE W/ COO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HFCA03CNN2FBNR-00</v>
          </cell>
          <cell r="B153">
            <v>2867</v>
          </cell>
          <cell r="C153">
            <v>400</v>
          </cell>
          <cell r="D153">
            <v>283</v>
          </cell>
          <cell r="E153">
            <v>31</v>
          </cell>
          <cell r="F153">
            <v>3581</v>
          </cell>
          <cell r="G153">
            <v>249</v>
          </cell>
          <cell r="H153">
            <v>3830</v>
          </cell>
          <cell r="I153">
            <v>47.3</v>
          </cell>
        </row>
        <row r="154">
          <cell r="A154" t="str">
            <v>HFCA04CNN2FBNR-00</v>
          </cell>
          <cell r="B154">
            <v>3024</v>
          </cell>
          <cell r="C154">
            <v>400</v>
          </cell>
          <cell r="D154">
            <v>283</v>
          </cell>
          <cell r="E154">
            <v>31</v>
          </cell>
          <cell r="F154">
            <v>3738</v>
          </cell>
          <cell r="G154">
            <v>249</v>
          </cell>
          <cell r="H154">
            <v>3987</v>
          </cell>
          <cell r="I154">
            <v>47.3</v>
          </cell>
        </row>
        <row r="155">
          <cell r="A155" t="str">
            <v>HFCA06CNN2FBNR-00</v>
          </cell>
          <cell r="B155">
            <v>3381</v>
          </cell>
          <cell r="C155">
            <v>400</v>
          </cell>
          <cell r="D155">
            <v>294</v>
          </cell>
          <cell r="E155">
            <v>32</v>
          </cell>
          <cell r="F155">
            <v>4107</v>
          </cell>
          <cell r="G155">
            <v>259</v>
          </cell>
          <cell r="H155">
            <v>4366</v>
          </cell>
          <cell r="I155">
            <v>49.12</v>
          </cell>
        </row>
        <row r="156">
          <cell r="A156" t="str">
            <v>HFCA08CNN2FBNR-00</v>
          </cell>
          <cell r="B156">
            <v>3661</v>
          </cell>
          <cell r="C156">
            <v>400</v>
          </cell>
          <cell r="D156">
            <v>294</v>
          </cell>
          <cell r="E156">
            <v>32</v>
          </cell>
          <cell r="F156">
            <v>4387</v>
          </cell>
          <cell r="G156">
            <v>259</v>
          </cell>
          <cell r="H156">
            <v>4646</v>
          </cell>
          <cell r="I156">
            <v>49.12</v>
          </cell>
        </row>
        <row r="157">
          <cell r="A157" t="str">
            <v>HFCA10CNN2FBNR-00</v>
          </cell>
          <cell r="B157">
            <v>4701</v>
          </cell>
          <cell r="C157">
            <v>400</v>
          </cell>
          <cell r="D157">
            <v>370</v>
          </cell>
          <cell r="E157">
            <v>41</v>
          </cell>
          <cell r="F157">
            <v>5512</v>
          </cell>
          <cell r="G157">
            <v>326</v>
          </cell>
          <cell r="H157">
            <v>5838</v>
          </cell>
          <cell r="I157">
            <v>61.73</v>
          </cell>
        </row>
        <row r="158">
          <cell r="A158" t="str">
            <v>HFCA12CNN2FBNR-00</v>
          </cell>
          <cell r="B158">
            <v>4977</v>
          </cell>
          <cell r="C158">
            <v>400</v>
          </cell>
          <cell r="D158">
            <v>383</v>
          </cell>
          <cell r="E158">
            <v>42</v>
          </cell>
          <cell r="F158">
            <v>5802</v>
          </cell>
          <cell r="G158">
            <v>337</v>
          </cell>
          <cell r="H158">
            <v>6139</v>
          </cell>
          <cell r="I158">
            <v>63.87</v>
          </cell>
        </row>
        <row r="159">
          <cell r="A159" t="str">
            <v>HFCA14CNN2FBNR-00</v>
          </cell>
          <cell r="B159">
            <v>5095</v>
          </cell>
          <cell r="C159">
            <v>400</v>
          </cell>
          <cell r="D159">
            <v>383</v>
          </cell>
          <cell r="E159">
            <v>42</v>
          </cell>
          <cell r="F159">
            <v>5920</v>
          </cell>
          <cell r="G159">
            <v>337</v>
          </cell>
          <cell r="H159">
            <v>6257</v>
          </cell>
          <cell r="I159">
            <v>63.87</v>
          </cell>
        </row>
        <row r="160">
          <cell r="A160" t="str">
            <v>2-WAY VALVE W/ COO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HFCA03CNN2DBNR-00</v>
          </cell>
          <cell r="B161">
            <v>2706</v>
          </cell>
          <cell r="C161">
            <v>0</v>
          </cell>
          <cell r="D161">
            <v>306</v>
          </cell>
          <cell r="E161">
            <v>34</v>
          </cell>
          <cell r="F161">
            <v>3046</v>
          </cell>
          <cell r="G161">
            <v>269</v>
          </cell>
          <cell r="H161">
            <v>3315</v>
          </cell>
          <cell r="I161">
            <v>51.04</v>
          </cell>
        </row>
        <row r="162">
          <cell r="A162" t="str">
            <v>HFCA04CNN2DBNR-00</v>
          </cell>
          <cell r="B162">
            <v>2863</v>
          </cell>
          <cell r="C162">
            <v>0</v>
          </cell>
          <cell r="D162">
            <v>306</v>
          </cell>
          <cell r="E162">
            <v>34</v>
          </cell>
          <cell r="F162">
            <v>3203</v>
          </cell>
          <cell r="G162">
            <v>269</v>
          </cell>
          <cell r="H162">
            <v>3472</v>
          </cell>
          <cell r="I162">
            <v>51.04</v>
          </cell>
        </row>
        <row r="163">
          <cell r="A163" t="str">
            <v>HFCA06CNN2DBNR-00</v>
          </cell>
          <cell r="B163">
            <v>3220</v>
          </cell>
          <cell r="C163">
            <v>0</v>
          </cell>
          <cell r="D163">
            <v>317</v>
          </cell>
          <cell r="E163">
            <v>35</v>
          </cell>
          <cell r="F163">
            <v>3572</v>
          </cell>
          <cell r="G163">
            <v>279</v>
          </cell>
          <cell r="H163">
            <v>3851</v>
          </cell>
          <cell r="I163">
            <v>52.86</v>
          </cell>
        </row>
        <row r="164">
          <cell r="A164" t="str">
            <v>HFCA08CNN2DBNR-00</v>
          </cell>
          <cell r="B164">
            <v>3500</v>
          </cell>
          <cell r="C164">
            <v>0</v>
          </cell>
          <cell r="D164">
            <v>317</v>
          </cell>
          <cell r="E164">
            <v>35</v>
          </cell>
          <cell r="F164">
            <v>3852</v>
          </cell>
          <cell r="G164">
            <v>279</v>
          </cell>
          <cell r="H164">
            <v>4131</v>
          </cell>
          <cell r="I164">
            <v>52.86</v>
          </cell>
        </row>
        <row r="165">
          <cell r="A165" t="str">
            <v>HFCA10CNN2DBNR-00</v>
          </cell>
          <cell r="B165">
            <v>4540</v>
          </cell>
          <cell r="C165">
            <v>0</v>
          </cell>
          <cell r="D165">
            <v>392</v>
          </cell>
          <cell r="E165">
            <v>43</v>
          </cell>
          <cell r="F165">
            <v>4975</v>
          </cell>
          <cell r="G165">
            <v>345</v>
          </cell>
          <cell r="H165">
            <v>5320</v>
          </cell>
          <cell r="I165">
            <v>65.47</v>
          </cell>
        </row>
        <row r="166">
          <cell r="A166" t="str">
            <v>HFCA12CNN2DBNR-00</v>
          </cell>
          <cell r="B166">
            <v>4816</v>
          </cell>
          <cell r="C166">
            <v>0</v>
          </cell>
          <cell r="D166">
            <v>405</v>
          </cell>
          <cell r="E166">
            <v>45</v>
          </cell>
          <cell r="F166">
            <v>5266</v>
          </cell>
          <cell r="G166">
            <v>356</v>
          </cell>
          <cell r="H166">
            <v>5622</v>
          </cell>
          <cell r="I166">
            <v>67.61</v>
          </cell>
        </row>
        <row r="167">
          <cell r="A167" t="str">
            <v>HFCA14CNN2DBNR-00</v>
          </cell>
          <cell r="B167">
            <v>4934</v>
          </cell>
          <cell r="C167">
            <v>0</v>
          </cell>
          <cell r="D167">
            <v>405</v>
          </cell>
          <cell r="E167">
            <v>45</v>
          </cell>
          <cell r="F167">
            <v>5384</v>
          </cell>
          <cell r="G167">
            <v>356</v>
          </cell>
          <cell r="H167">
            <v>5740</v>
          </cell>
          <cell r="I167">
            <v>67.61</v>
          </cell>
        </row>
        <row r="168">
          <cell r="A168" t="str">
            <v>3-WAY VALVE W/ COO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HFCA03CNN2GBNR-00</v>
          </cell>
          <cell r="B169">
            <v>2887</v>
          </cell>
          <cell r="C169">
            <v>400</v>
          </cell>
          <cell r="D169">
            <v>283</v>
          </cell>
          <cell r="E169">
            <v>31</v>
          </cell>
          <cell r="F169">
            <v>3601</v>
          </cell>
          <cell r="G169">
            <v>249</v>
          </cell>
          <cell r="H169">
            <v>3850</v>
          </cell>
          <cell r="I169">
            <v>47.3</v>
          </cell>
        </row>
        <row r="170">
          <cell r="A170" t="str">
            <v>HFCA04CNN2GBNR-00</v>
          </cell>
          <cell r="B170">
            <v>3044</v>
          </cell>
          <cell r="C170">
            <v>400</v>
          </cell>
          <cell r="D170">
            <v>283</v>
          </cell>
          <cell r="E170">
            <v>31</v>
          </cell>
          <cell r="F170">
            <v>3758</v>
          </cell>
          <cell r="G170">
            <v>249</v>
          </cell>
          <cell r="H170">
            <v>4007</v>
          </cell>
          <cell r="I170">
            <v>47.3</v>
          </cell>
        </row>
        <row r="171">
          <cell r="A171" t="str">
            <v>HFCA06CNN2GBNR-00</v>
          </cell>
          <cell r="B171">
            <v>3401</v>
          </cell>
          <cell r="C171">
            <v>400</v>
          </cell>
          <cell r="D171">
            <v>294</v>
          </cell>
          <cell r="E171">
            <v>32</v>
          </cell>
          <cell r="F171">
            <v>4127</v>
          </cell>
          <cell r="G171">
            <v>259</v>
          </cell>
          <cell r="H171">
            <v>4386</v>
          </cell>
          <cell r="I171">
            <v>49.12</v>
          </cell>
        </row>
        <row r="172">
          <cell r="A172" t="str">
            <v>HFCA08CNN2GBNR-00</v>
          </cell>
          <cell r="B172">
            <v>3681</v>
          </cell>
          <cell r="C172">
            <v>400</v>
          </cell>
          <cell r="D172">
            <v>294</v>
          </cell>
          <cell r="E172">
            <v>32</v>
          </cell>
          <cell r="F172">
            <v>4407</v>
          </cell>
          <cell r="G172">
            <v>259</v>
          </cell>
          <cell r="H172">
            <v>4666</v>
          </cell>
          <cell r="I172">
            <v>49.12</v>
          </cell>
        </row>
        <row r="173">
          <cell r="A173" t="str">
            <v>HFCA10CNN2GBNR-00</v>
          </cell>
          <cell r="B173">
            <v>4721</v>
          </cell>
          <cell r="C173">
            <v>400</v>
          </cell>
          <cell r="D173">
            <v>370</v>
          </cell>
          <cell r="E173">
            <v>41</v>
          </cell>
          <cell r="F173">
            <v>5532</v>
          </cell>
          <cell r="G173">
            <v>326</v>
          </cell>
          <cell r="H173">
            <v>5858</v>
          </cell>
          <cell r="I173">
            <v>61.73</v>
          </cell>
        </row>
        <row r="174">
          <cell r="A174" t="str">
            <v>HFCA12CNN2GBNR-00</v>
          </cell>
          <cell r="B174">
            <v>4997</v>
          </cell>
          <cell r="C174">
            <v>400</v>
          </cell>
          <cell r="D174">
            <v>383</v>
          </cell>
          <cell r="E174">
            <v>42</v>
          </cell>
          <cell r="F174">
            <v>5822</v>
          </cell>
          <cell r="G174">
            <v>337</v>
          </cell>
          <cell r="H174">
            <v>6159</v>
          </cell>
          <cell r="I174">
            <v>63.87</v>
          </cell>
        </row>
        <row r="175">
          <cell r="A175" t="str">
            <v>HFCA14CNN2GBNR-00</v>
          </cell>
          <cell r="B175">
            <v>5115</v>
          </cell>
          <cell r="C175">
            <v>400</v>
          </cell>
          <cell r="D175">
            <v>383</v>
          </cell>
          <cell r="E175">
            <v>42</v>
          </cell>
          <cell r="F175">
            <v>5940</v>
          </cell>
          <cell r="G175">
            <v>337</v>
          </cell>
          <cell r="H175">
            <v>6277</v>
          </cell>
          <cell r="I175">
            <v>63.87</v>
          </cell>
        </row>
        <row r="176">
          <cell r="A176" t="str">
            <v>ELEC. HEATER 1 KW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HFCA03CAN2NBNR-00</v>
          </cell>
          <cell r="B177">
            <v>2611</v>
          </cell>
          <cell r="C177">
            <v>0</v>
          </cell>
          <cell r="D177">
            <v>321</v>
          </cell>
          <cell r="E177">
            <v>35</v>
          </cell>
          <cell r="F177">
            <v>2967</v>
          </cell>
          <cell r="G177">
            <v>282</v>
          </cell>
          <cell r="H177">
            <v>3249</v>
          </cell>
          <cell r="I177">
            <v>53.6</v>
          </cell>
        </row>
        <row r="178">
          <cell r="A178" t="str">
            <v>HFCA04CAN2NBNR-00</v>
          </cell>
          <cell r="B178">
            <v>2772</v>
          </cell>
          <cell r="C178">
            <v>0</v>
          </cell>
          <cell r="D178">
            <v>321</v>
          </cell>
          <cell r="E178">
            <v>35</v>
          </cell>
          <cell r="F178">
            <v>3128</v>
          </cell>
          <cell r="G178">
            <v>282</v>
          </cell>
          <cell r="H178">
            <v>3410</v>
          </cell>
          <cell r="I178">
            <v>53.6</v>
          </cell>
          <cell r="J178" t="str">
            <v>O</v>
          </cell>
        </row>
        <row r="179">
          <cell r="A179" t="str">
            <v>HFCA06CAN2NBNR-00</v>
          </cell>
          <cell r="B179">
            <v>3149</v>
          </cell>
          <cell r="C179">
            <v>0</v>
          </cell>
          <cell r="D179">
            <v>341</v>
          </cell>
          <cell r="E179">
            <v>38</v>
          </cell>
          <cell r="F179">
            <v>3528</v>
          </cell>
          <cell r="G179">
            <v>300</v>
          </cell>
          <cell r="H179">
            <v>3828</v>
          </cell>
          <cell r="I179">
            <v>56.91</v>
          </cell>
        </row>
        <row r="180">
          <cell r="A180" t="str">
            <v>HFCA08CAN2NBNR-00</v>
          </cell>
          <cell r="B180">
            <v>3475</v>
          </cell>
          <cell r="C180">
            <v>0</v>
          </cell>
          <cell r="D180">
            <v>341</v>
          </cell>
          <cell r="E180">
            <v>38</v>
          </cell>
          <cell r="F180">
            <v>3854</v>
          </cell>
          <cell r="G180">
            <v>300</v>
          </cell>
          <cell r="H180">
            <v>4154</v>
          </cell>
          <cell r="I180">
            <v>56.91</v>
          </cell>
        </row>
        <row r="181">
          <cell r="A181" t="str">
            <v>HFCA10CAN2NBNR-00</v>
          </cell>
          <cell r="B181">
            <v>4509</v>
          </cell>
          <cell r="C181">
            <v>0</v>
          </cell>
          <cell r="D181">
            <v>407</v>
          </cell>
          <cell r="E181">
            <v>45</v>
          </cell>
          <cell r="F181">
            <v>4961</v>
          </cell>
          <cell r="G181">
            <v>358</v>
          </cell>
          <cell r="H181">
            <v>5319</v>
          </cell>
          <cell r="I181">
            <v>68.03</v>
          </cell>
        </row>
        <row r="182">
          <cell r="A182" t="str">
            <v>HFCA12CAN2NBNR-00</v>
          </cell>
          <cell r="B182">
            <v>4788</v>
          </cell>
          <cell r="C182">
            <v>0</v>
          </cell>
          <cell r="D182">
            <v>420</v>
          </cell>
          <cell r="E182">
            <v>46</v>
          </cell>
          <cell r="F182">
            <v>5254</v>
          </cell>
          <cell r="G182">
            <v>370</v>
          </cell>
          <cell r="H182">
            <v>5624</v>
          </cell>
          <cell r="I182">
            <v>70.17</v>
          </cell>
        </row>
        <row r="183">
          <cell r="A183" t="str">
            <v>HFCA14CAN2NBNR-00</v>
          </cell>
          <cell r="B183">
            <v>4878</v>
          </cell>
          <cell r="C183">
            <v>0</v>
          </cell>
          <cell r="D183">
            <v>420</v>
          </cell>
          <cell r="E183">
            <v>46</v>
          </cell>
          <cell r="F183">
            <v>5344</v>
          </cell>
          <cell r="G183">
            <v>370</v>
          </cell>
          <cell r="H183">
            <v>5714</v>
          </cell>
          <cell r="I183">
            <v>70.17</v>
          </cell>
        </row>
        <row r="184">
          <cell r="A184" t="str">
            <v>HFCA03CAN5NBNR-00</v>
          </cell>
          <cell r="B184">
            <v>2626</v>
          </cell>
          <cell r="C184">
            <v>0</v>
          </cell>
          <cell r="D184">
            <v>321</v>
          </cell>
          <cell r="E184">
            <v>35</v>
          </cell>
          <cell r="F184">
            <v>2982</v>
          </cell>
          <cell r="G184">
            <v>282</v>
          </cell>
          <cell r="H184">
            <v>3264</v>
          </cell>
          <cell r="I184">
            <v>53.6</v>
          </cell>
        </row>
        <row r="185">
          <cell r="A185" t="str">
            <v>HFCA04CAN5NBNR-00</v>
          </cell>
          <cell r="B185">
            <v>2787</v>
          </cell>
          <cell r="C185">
            <v>0</v>
          </cell>
          <cell r="D185">
            <v>321</v>
          </cell>
          <cell r="E185">
            <v>35</v>
          </cell>
          <cell r="F185">
            <v>3143</v>
          </cell>
          <cell r="G185">
            <v>282</v>
          </cell>
          <cell r="H185">
            <v>3425</v>
          </cell>
          <cell r="I185">
            <v>53.6</v>
          </cell>
        </row>
        <row r="186">
          <cell r="A186" t="str">
            <v>HFCA06CAN5NBNR-00</v>
          </cell>
          <cell r="B186">
            <v>3157</v>
          </cell>
          <cell r="C186">
            <v>0</v>
          </cell>
          <cell r="D186">
            <v>341</v>
          </cell>
          <cell r="E186">
            <v>38</v>
          </cell>
          <cell r="F186">
            <v>3536</v>
          </cell>
          <cell r="G186">
            <v>300</v>
          </cell>
          <cell r="H186">
            <v>3836</v>
          </cell>
          <cell r="I186">
            <v>56.91</v>
          </cell>
        </row>
        <row r="187">
          <cell r="A187" t="str">
            <v>HFCA08CAN5NBNR-00</v>
          </cell>
          <cell r="B187">
            <v>3469</v>
          </cell>
          <cell r="C187">
            <v>0</v>
          </cell>
          <cell r="D187">
            <v>341</v>
          </cell>
          <cell r="E187">
            <v>38</v>
          </cell>
          <cell r="F187">
            <v>3848</v>
          </cell>
          <cell r="G187">
            <v>300</v>
          </cell>
          <cell r="H187">
            <v>4148</v>
          </cell>
          <cell r="I187">
            <v>56.91</v>
          </cell>
        </row>
        <row r="188">
          <cell r="A188" t="str">
            <v>HFCA10CAN5NBNR-00</v>
          </cell>
          <cell r="B188">
            <v>4521</v>
          </cell>
          <cell r="C188">
            <v>0</v>
          </cell>
          <cell r="D188">
            <v>407</v>
          </cell>
          <cell r="E188">
            <v>45</v>
          </cell>
          <cell r="F188">
            <v>4973</v>
          </cell>
          <cell r="G188">
            <v>358</v>
          </cell>
          <cell r="H188">
            <v>5331</v>
          </cell>
          <cell r="I188">
            <v>68.03</v>
          </cell>
        </row>
        <row r="189">
          <cell r="A189" t="str">
            <v>HFCA12CAN5NBNR-00</v>
          </cell>
          <cell r="B189">
            <v>4807</v>
          </cell>
          <cell r="C189">
            <v>0</v>
          </cell>
          <cell r="D189">
            <v>420</v>
          </cell>
          <cell r="E189">
            <v>46</v>
          </cell>
          <cell r="F189">
            <v>5273</v>
          </cell>
          <cell r="G189">
            <v>370</v>
          </cell>
          <cell r="H189">
            <v>5643</v>
          </cell>
          <cell r="I189">
            <v>70.17</v>
          </cell>
        </row>
        <row r="190">
          <cell r="A190" t="str">
            <v>HFCA14CAN5NBNR-00</v>
          </cell>
          <cell r="B190">
            <v>4869</v>
          </cell>
          <cell r="C190">
            <v>0</v>
          </cell>
          <cell r="D190">
            <v>420</v>
          </cell>
          <cell r="E190">
            <v>46</v>
          </cell>
          <cell r="F190">
            <v>5335</v>
          </cell>
          <cell r="G190">
            <v>370</v>
          </cell>
          <cell r="H190">
            <v>5705</v>
          </cell>
          <cell r="I190">
            <v>70.17</v>
          </cell>
        </row>
        <row r="191">
          <cell r="A191" t="str">
            <v>ELEC. HEATER 1.5 K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HFCA06CBN2NBNR-00</v>
          </cell>
          <cell r="B192">
            <v>3451</v>
          </cell>
          <cell r="C192">
            <v>0</v>
          </cell>
          <cell r="D192">
            <v>420</v>
          </cell>
          <cell r="E192">
            <v>46</v>
          </cell>
          <cell r="F192">
            <v>3917</v>
          </cell>
          <cell r="G192">
            <v>370</v>
          </cell>
          <cell r="H192">
            <v>4287</v>
          </cell>
          <cell r="I192">
            <v>70.16</v>
          </cell>
          <cell r="J192" t="str">
            <v>O</v>
          </cell>
        </row>
        <row r="193">
          <cell r="A193" t="str">
            <v>HFCA08CBN2NBNR-00</v>
          </cell>
          <cell r="B193">
            <v>3550</v>
          </cell>
          <cell r="C193">
            <v>0</v>
          </cell>
          <cell r="D193">
            <v>341</v>
          </cell>
          <cell r="E193">
            <v>38</v>
          </cell>
          <cell r="F193">
            <v>3929</v>
          </cell>
          <cell r="G193">
            <v>300</v>
          </cell>
          <cell r="H193">
            <v>4229</v>
          </cell>
          <cell r="I193">
            <v>56.91</v>
          </cell>
        </row>
        <row r="194">
          <cell r="A194" t="str">
            <v>HFCA10CBN2NBNR-00</v>
          </cell>
          <cell r="B194">
            <v>4733</v>
          </cell>
          <cell r="C194">
            <v>0</v>
          </cell>
          <cell r="D194">
            <v>454</v>
          </cell>
          <cell r="E194">
            <v>50</v>
          </cell>
          <cell r="F194">
            <v>5237</v>
          </cell>
          <cell r="G194">
            <v>400</v>
          </cell>
          <cell r="H194">
            <v>5637</v>
          </cell>
          <cell r="I194">
            <v>75.72</v>
          </cell>
        </row>
        <row r="195">
          <cell r="A195" t="str">
            <v>HFCA12CBN2NBNR-00</v>
          </cell>
          <cell r="B195">
            <v>5099</v>
          </cell>
          <cell r="C195">
            <v>0</v>
          </cell>
          <cell r="D195">
            <v>466</v>
          </cell>
          <cell r="E195">
            <v>51</v>
          </cell>
          <cell r="F195">
            <v>5616</v>
          </cell>
          <cell r="G195">
            <v>410</v>
          </cell>
          <cell r="H195">
            <v>6026</v>
          </cell>
          <cell r="I195">
            <v>77.86</v>
          </cell>
        </row>
        <row r="196">
          <cell r="A196" t="str">
            <v>HFCA14CBN2NBNR-00</v>
          </cell>
          <cell r="B196">
            <v>5189</v>
          </cell>
          <cell r="C196">
            <v>0</v>
          </cell>
          <cell r="D196">
            <v>466</v>
          </cell>
          <cell r="E196">
            <v>51</v>
          </cell>
          <cell r="F196">
            <v>5706</v>
          </cell>
          <cell r="G196">
            <v>410</v>
          </cell>
          <cell r="H196">
            <v>6116</v>
          </cell>
          <cell r="I196">
            <v>77.86</v>
          </cell>
        </row>
        <row r="197">
          <cell r="A197" t="str">
            <v>HFCA06CBN5NBNR-00</v>
          </cell>
          <cell r="B197">
            <v>3459</v>
          </cell>
          <cell r="C197">
            <v>0</v>
          </cell>
          <cell r="D197">
            <v>420</v>
          </cell>
          <cell r="E197">
            <v>46</v>
          </cell>
          <cell r="F197">
            <v>3925</v>
          </cell>
          <cell r="G197">
            <v>370</v>
          </cell>
          <cell r="H197">
            <v>4295</v>
          </cell>
          <cell r="I197">
            <v>70.16</v>
          </cell>
        </row>
        <row r="198">
          <cell r="A198" t="str">
            <v>HFCA08CBN5NBNR-00</v>
          </cell>
          <cell r="B198">
            <v>3544</v>
          </cell>
          <cell r="C198">
            <v>0</v>
          </cell>
          <cell r="D198">
            <v>341</v>
          </cell>
          <cell r="E198">
            <v>38</v>
          </cell>
          <cell r="F198">
            <v>3923</v>
          </cell>
          <cell r="G198">
            <v>300</v>
          </cell>
          <cell r="H198">
            <v>4223</v>
          </cell>
          <cell r="I198">
            <v>56.91</v>
          </cell>
        </row>
        <row r="199">
          <cell r="A199" t="str">
            <v>HFCA10CBN5NBNR-00</v>
          </cell>
          <cell r="B199">
            <v>4745</v>
          </cell>
          <cell r="C199">
            <v>0</v>
          </cell>
          <cell r="D199">
            <v>454</v>
          </cell>
          <cell r="E199">
            <v>50</v>
          </cell>
          <cell r="F199">
            <v>5249</v>
          </cell>
          <cell r="G199">
            <v>400</v>
          </cell>
          <cell r="H199">
            <v>5649</v>
          </cell>
          <cell r="I199">
            <v>75.72</v>
          </cell>
        </row>
        <row r="200">
          <cell r="A200" t="str">
            <v>HFCA12CBN5NBNR-00</v>
          </cell>
          <cell r="B200">
            <v>5118</v>
          </cell>
          <cell r="C200">
            <v>0</v>
          </cell>
          <cell r="D200">
            <v>466</v>
          </cell>
          <cell r="E200">
            <v>51</v>
          </cell>
          <cell r="F200">
            <v>5635</v>
          </cell>
          <cell r="G200">
            <v>410</v>
          </cell>
          <cell r="H200">
            <v>6045</v>
          </cell>
          <cell r="I200">
            <v>77.86</v>
          </cell>
        </row>
        <row r="201">
          <cell r="A201" t="str">
            <v>HFCA14CBN5NBNR-00</v>
          </cell>
          <cell r="B201">
            <v>5180</v>
          </cell>
          <cell r="C201">
            <v>0</v>
          </cell>
          <cell r="D201">
            <v>466</v>
          </cell>
          <cell r="E201">
            <v>51</v>
          </cell>
          <cell r="F201">
            <v>5697</v>
          </cell>
          <cell r="G201">
            <v>410</v>
          </cell>
          <cell r="H201">
            <v>6107</v>
          </cell>
          <cell r="I201">
            <v>77.86</v>
          </cell>
        </row>
        <row r="202">
          <cell r="A202" t="str">
            <v>ELEC. HEATER 2 KW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HFCA06CCN2NBNR-00</v>
          </cell>
          <cell r="B203">
            <v>3451</v>
          </cell>
          <cell r="C203">
            <v>0</v>
          </cell>
          <cell r="D203">
            <v>420</v>
          </cell>
          <cell r="E203">
            <v>46</v>
          </cell>
          <cell r="F203">
            <v>3917</v>
          </cell>
          <cell r="G203">
            <v>370</v>
          </cell>
          <cell r="H203">
            <v>4287</v>
          </cell>
          <cell r="I203">
            <v>70.16</v>
          </cell>
        </row>
        <row r="204">
          <cell r="A204" t="str">
            <v>HFCA08CCN2NBNR-00</v>
          </cell>
          <cell r="B204">
            <v>3827</v>
          </cell>
          <cell r="C204">
            <v>0</v>
          </cell>
          <cell r="D204">
            <v>431</v>
          </cell>
          <cell r="E204">
            <v>47</v>
          </cell>
          <cell r="F204">
            <v>4305</v>
          </cell>
          <cell r="G204">
            <v>379</v>
          </cell>
          <cell r="H204">
            <v>4684</v>
          </cell>
          <cell r="I204">
            <v>72.02</v>
          </cell>
        </row>
        <row r="205">
          <cell r="A205" t="str">
            <v>HFCA10CCN2NBNR-00</v>
          </cell>
          <cell r="B205">
            <v>4909</v>
          </cell>
          <cell r="C205">
            <v>0</v>
          </cell>
          <cell r="D205">
            <v>496</v>
          </cell>
          <cell r="E205">
            <v>55</v>
          </cell>
          <cell r="F205">
            <v>5460</v>
          </cell>
          <cell r="G205">
            <v>436</v>
          </cell>
          <cell r="H205">
            <v>5896</v>
          </cell>
          <cell r="I205">
            <v>82.77</v>
          </cell>
        </row>
        <row r="206">
          <cell r="A206" t="str">
            <v>HFCA12CCN2NBNR-00</v>
          </cell>
          <cell r="B206">
            <v>5098</v>
          </cell>
          <cell r="C206">
            <v>0</v>
          </cell>
          <cell r="D206">
            <v>466</v>
          </cell>
          <cell r="E206">
            <v>51</v>
          </cell>
          <cell r="F206">
            <v>5615</v>
          </cell>
          <cell r="G206">
            <v>410</v>
          </cell>
          <cell r="H206">
            <v>6025</v>
          </cell>
          <cell r="I206">
            <v>77.86</v>
          </cell>
        </row>
        <row r="207">
          <cell r="A207" t="str">
            <v>HFCA14CCN2NBNR-00</v>
          </cell>
          <cell r="B207">
            <v>5189</v>
          </cell>
          <cell r="C207">
            <v>0</v>
          </cell>
          <cell r="D207">
            <v>466</v>
          </cell>
          <cell r="E207">
            <v>51</v>
          </cell>
          <cell r="F207">
            <v>5706</v>
          </cell>
          <cell r="G207">
            <v>410</v>
          </cell>
          <cell r="H207">
            <v>6116</v>
          </cell>
          <cell r="I207">
            <v>77.86</v>
          </cell>
        </row>
        <row r="208">
          <cell r="A208" t="str">
            <v>HFCA06CCN5NBNR-00</v>
          </cell>
          <cell r="B208">
            <v>3459</v>
          </cell>
          <cell r="C208">
            <v>0</v>
          </cell>
          <cell r="D208">
            <v>420</v>
          </cell>
          <cell r="E208">
            <v>46</v>
          </cell>
          <cell r="F208">
            <v>3925</v>
          </cell>
          <cell r="G208">
            <v>370</v>
          </cell>
          <cell r="H208">
            <v>4295</v>
          </cell>
          <cell r="I208">
            <v>70.16</v>
          </cell>
        </row>
        <row r="209">
          <cell r="A209" t="str">
            <v>HFCA08CCN5NBNR-00</v>
          </cell>
          <cell r="B209">
            <v>3821</v>
          </cell>
          <cell r="C209">
            <v>0</v>
          </cell>
          <cell r="D209">
            <v>431</v>
          </cell>
          <cell r="E209">
            <v>47</v>
          </cell>
          <cell r="F209">
            <v>4299</v>
          </cell>
          <cell r="G209">
            <v>379</v>
          </cell>
          <cell r="H209">
            <v>4678</v>
          </cell>
          <cell r="I209">
            <v>72.02</v>
          </cell>
        </row>
        <row r="210">
          <cell r="A210" t="str">
            <v>HFCA10CCN5NBNR-00</v>
          </cell>
          <cell r="B210">
            <v>4921</v>
          </cell>
          <cell r="C210">
            <v>0</v>
          </cell>
          <cell r="D210">
            <v>496</v>
          </cell>
          <cell r="E210">
            <v>55</v>
          </cell>
          <cell r="F210">
            <v>5472</v>
          </cell>
          <cell r="G210">
            <v>436</v>
          </cell>
          <cell r="H210">
            <v>5908</v>
          </cell>
          <cell r="I210">
            <v>82.77</v>
          </cell>
        </row>
        <row r="211">
          <cell r="A211" t="str">
            <v>HFCA12CCN5NBNR-00</v>
          </cell>
          <cell r="B211">
            <v>5117</v>
          </cell>
          <cell r="C211">
            <v>0</v>
          </cell>
          <cell r="D211">
            <v>466</v>
          </cell>
          <cell r="E211">
            <v>51</v>
          </cell>
          <cell r="F211">
            <v>5634</v>
          </cell>
          <cell r="G211">
            <v>410</v>
          </cell>
          <cell r="H211">
            <v>6044</v>
          </cell>
          <cell r="I211">
            <v>77.86</v>
          </cell>
        </row>
        <row r="212">
          <cell r="A212" t="str">
            <v>HFCA14CCN5NBNR-00</v>
          </cell>
          <cell r="B212">
            <v>5180</v>
          </cell>
          <cell r="C212">
            <v>0</v>
          </cell>
          <cell r="D212">
            <v>466</v>
          </cell>
          <cell r="E212">
            <v>51</v>
          </cell>
          <cell r="F212">
            <v>5697</v>
          </cell>
          <cell r="G212">
            <v>410</v>
          </cell>
          <cell r="H212">
            <v>6107</v>
          </cell>
          <cell r="I212">
            <v>77.86</v>
          </cell>
        </row>
        <row r="213">
          <cell r="A213" t="str">
            <v>ELEC. HEATER 2.5 K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HFCA08CDN2NBNR-00</v>
          </cell>
          <cell r="B214">
            <v>3952</v>
          </cell>
          <cell r="C214">
            <v>0</v>
          </cell>
          <cell r="D214">
            <v>420</v>
          </cell>
          <cell r="E214">
            <v>46</v>
          </cell>
          <cell r="F214">
            <v>4418</v>
          </cell>
          <cell r="G214">
            <v>370</v>
          </cell>
          <cell r="H214">
            <v>4788</v>
          </cell>
          <cell r="I214">
            <v>70.16</v>
          </cell>
        </row>
        <row r="215">
          <cell r="A215" t="str">
            <v>HFCA10CDN2NBNR-00</v>
          </cell>
          <cell r="B215">
            <v>5207</v>
          </cell>
          <cell r="C215">
            <v>0</v>
          </cell>
          <cell r="D215">
            <v>536</v>
          </cell>
          <cell r="E215">
            <v>59</v>
          </cell>
          <cell r="F215">
            <v>5802</v>
          </cell>
          <cell r="G215">
            <v>472</v>
          </cell>
          <cell r="H215">
            <v>6274</v>
          </cell>
          <cell r="I215">
            <v>89.42</v>
          </cell>
          <cell r="J215" t="str">
            <v>O</v>
          </cell>
        </row>
        <row r="216">
          <cell r="A216" t="str">
            <v>HFCA12CDN2NBNR-00</v>
          </cell>
          <cell r="B216">
            <v>5593</v>
          </cell>
          <cell r="C216">
            <v>0</v>
          </cell>
          <cell r="D216">
            <v>657</v>
          </cell>
          <cell r="E216">
            <v>72</v>
          </cell>
          <cell r="F216">
            <v>6322</v>
          </cell>
          <cell r="G216">
            <v>578</v>
          </cell>
          <cell r="H216">
            <v>6900</v>
          </cell>
          <cell r="I216">
            <v>109.65</v>
          </cell>
        </row>
        <row r="217">
          <cell r="A217" t="str">
            <v>HFCA14CDN2NBNR-00</v>
          </cell>
          <cell r="B217">
            <v>5683</v>
          </cell>
          <cell r="C217">
            <v>0</v>
          </cell>
          <cell r="D217">
            <v>657</v>
          </cell>
          <cell r="E217">
            <v>72</v>
          </cell>
          <cell r="F217">
            <v>6412</v>
          </cell>
          <cell r="G217">
            <v>578</v>
          </cell>
          <cell r="H217">
            <v>6990</v>
          </cell>
          <cell r="I217">
            <v>109.65</v>
          </cell>
        </row>
        <row r="218">
          <cell r="A218" t="str">
            <v>ELEC. HEATER 3 KW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HFCA08CEN2NBNR-00</v>
          </cell>
          <cell r="B219">
            <v>3952</v>
          </cell>
          <cell r="C219">
            <v>0</v>
          </cell>
          <cell r="D219">
            <v>420</v>
          </cell>
          <cell r="E219">
            <v>46</v>
          </cell>
          <cell r="F219">
            <v>4418</v>
          </cell>
          <cell r="G219">
            <v>370</v>
          </cell>
          <cell r="H219">
            <v>4788</v>
          </cell>
          <cell r="I219">
            <v>70.16</v>
          </cell>
        </row>
        <row r="220">
          <cell r="A220" t="str">
            <v>HFCA10CEN2NBNR-00</v>
          </cell>
          <cell r="B220">
            <v>5215</v>
          </cell>
          <cell r="C220">
            <v>0</v>
          </cell>
          <cell r="D220">
            <v>536</v>
          </cell>
          <cell r="E220">
            <v>59</v>
          </cell>
          <cell r="F220">
            <v>5810</v>
          </cell>
          <cell r="G220">
            <v>472</v>
          </cell>
          <cell r="H220">
            <v>6282</v>
          </cell>
          <cell r="I220">
            <v>89.42</v>
          </cell>
        </row>
        <row r="221">
          <cell r="A221" t="str">
            <v>HFCA12CEN2NBNR-00</v>
          </cell>
          <cell r="B221">
            <v>5595</v>
          </cell>
          <cell r="C221">
            <v>0</v>
          </cell>
          <cell r="D221">
            <v>657</v>
          </cell>
          <cell r="E221">
            <v>72</v>
          </cell>
          <cell r="F221">
            <v>6324</v>
          </cell>
          <cell r="G221">
            <v>578</v>
          </cell>
          <cell r="H221">
            <v>6902</v>
          </cell>
          <cell r="I221">
            <v>109.65</v>
          </cell>
          <cell r="J221" t="str">
            <v>O</v>
          </cell>
        </row>
        <row r="222">
          <cell r="A222" t="str">
            <v>HFCA14CEN2NBNR-00</v>
          </cell>
          <cell r="B222">
            <v>5685</v>
          </cell>
          <cell r="C222">
            <v>0</v>
          </cell>
          <cell r="D222">
            <v>657</v>
          </cell>
          <cell r="E222">
            <v>72</v>
          </cell>
          <cell r="F222">
            <v>6414</v>
          </cell>
          <cell r="G222">
            <v>578</v>
          </cell>
          <cell r="H222">
            <v>6992</v>
          </cell>
          <cell r="I222">
            <v>109.65</v>
          </cell>
        </row>
        <row r="223">
          <cell r="A223" t="str">
            <v>ELEC. HEATER 3.5 K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HFCA10CFN2NBNR-00</v>
          </cell>
          <cell r="B224">
            <v>5215</v>
          </cell>
          <cell r="C224">
            <v>0</v>
          </cell>
          <cell r="D224">
            <v>536</v>
          </cell>
          <cell r="E224">
            <v>59</v>
          </cell>
          <cell r="F224">
            <v>5810</v>
          </cell>
          <cell r="G224">
            <v>472</v>
          </cell>
          <cell r="H224">
            <v>6282</v>
          </cell>
          <cell r="I224">
            <v>89.42</v>
          </cell>
        </row>
        <row r="225">
          <cell r="A225" t="str">
            <v>HFCA12CFN2NBNR-00</v>
          </cell>
          <cell r="B225">
            <v>5661</v>
          </cell>
          <cell r="C225">
            <v>0</v>
          </cell>
          <cell r="D225">
            <v>548</v>
          </cell>
          <cell r="E225">
            <v>60</v>
          </cell>
          <cell r="F225">
            <v>6269</v>
          </cell>
          <cell r="G225">
            <v>482</v>
          </cell>
          <cell r="H225">
            <v>6751</v>
          </cell>
          <cell r="I225">
            <v>91.56</v>
          </cell>
        </row>
        <row r="226">
          <cell r="A226" t="str">
            <v>HFCA14CFN2NBNR-00</v>
          </cell>
          <cell r="B226">
            <v>5751</v>
          </cell>
          <cell r="C226">
            <v>0</v>
          </cell>
          <cell r="D226">
            <v>548</v>
          </cell>
          <cell r="E226">
            <v>60</v>
          </cell>
          <cell r="F226">
            <v>6359</v>
          </cell>
          <cell r="G226">
            <v>482</v>
          </cell>
          <cell r="H226">
            <v>6841</v>
          </cell>
          <cell r="I226">
            <v>91.56</v>
          </cell>
          <cell r="J226" t="str">
            <v>O</v>
          </cell>
        </row>
        <row r="227">
          <cell r="A227" t="str">
            <v>ELEC. HEATER 4 KW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HFCA12CGN2NBNR-00</v>
          </cell>
          <cell r="B228">
            <v>5665</v>
          </cell>
          <cell r="C228">
            <v>0</v>
          </cell>
          <cell r="D228">
            <v>548</v>
          </cell>
          <cell r="E228">
            <v>60</v>
          </cell>
          <cell r="F228">
            <v>6273</v>
          </cell>
          <cell r="G228">
            <v>482</v>
          </cell>
          <cell r="H228">
            <v>6755</v>
          </cell>
          <cell r="I228">
            <v>91.56</v>
          </cell>
        </row>
        <row r="229">
          <cell r="A229" t="str">
            <v>HFCA14CGN2NBNR-00</v>
          </cell>
          <cell r="B229">
            <v>5756</v>
          </cell>
          <cell r="C229">
            <v>0</v>
          </cell>
          <cell r="D229">
            <v>548</v>
          </cell>
          <cell r="E229">
            <v>60</v>
          </cell>
          <cell r="F229">
            <v>6364</v>
          </cell>
          <cell r="G229">
            <v>482</v>
          </cell>
          <cell r="H229">
            <v>6846</v>
          </cell>
          <cell r="I229">
            <v>91.56</v>
          </cell>
        </row>
        <row r="230"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HFWA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HFWA03CNN2NAAR-00</v>
          </cell>
          <cell r="B232">
            <v>1813</v>
          </cell>
          <cell r="C232">
            <v>265</v>
          </cell>
          <cell r="D232">
            <v>687</v>
          </cell>
          <cell r="E232">
            <v>76</v>
          </cell>
          <cell r="F232">
            <v>2841</v>
          </cell>
          <cell r="G232">
            <v>605</v>
          </cell>
          <cell r="H232">
            <v>3446</v>
          </cell>
          <cell r="I232">
            <v>114.63</v>
          </cell>
          <cell r="J232" t="str">
            <v>O</v>
          </cell>
        </row>
        <row r="233">
          <cell r="A233" t="str">
            <v>HFWA04CNN2NAAR-00</v>
          </cell>
          <cell r="B233">
            <v>2031</v>
          </cell>
          <cell r="C233">
            <v>297</v>
          </cell>
          <cell r="D233">
            <v>694</v>
          </cell>
          <cell r="E233">
            <v>76</v>
          </cell>
          <cell r="F233">
            <v>3098</v>
          </cell>
          <cell r="G233">
            <v>611</v>
          </cell>
          <cell r="H233">
            <v>3709</v>
          </cell>
          <cell r="I233">
            <v>115.85</v>
          </cell>
          <cell r="J233" t="str">
            <v>O</v>
          </cell>
        </row>
        <row r="234">
          <cell r="A234" t="str">
            <v>HFWA06CNN2NAAR-00</v>
          </cell>
          <cell r="B234">
            <v>2438</v>
          </cell>
          <cell r="C234">
            <v>322</v>
          </cell>
          <cell r="D234">
            <v>742</v>
          </cell>
          <cell r="E234">
            <v>82</v>
          </cell>
          <cell r="F234">
            <v>3584</v>
          </cell>
          <cell r="G234">
            <v>653</v>
          </cell>
          <cell r="H234">
            <v>4237</v>
          </cell>
          <cell r="I234">
            <v>123.81</v>
          </cell>
          <cell r="J234" t="str">
            <v>O</v>
          </cell>
        </row>
        <row r="235">
          <cell r="A235" t="str">
            <v>HFWA08CNN2NAAR-00</v>
          </cell>
          <cell r="B235">
            <v>2819</v>
          </cell>
          <cell r="C235">
            <v>376</v>
          </cell>
          <cell r="D235">
            <v>765</v>
          </cell>
          <cell r="E235">
            <v>84</v>
          </cell>
          <cell r="F235">
            <v>4044</v>
          </cell>
          <cell r="G235">
            <v>673</v>
          </cell>
          <cell r="H235">
            <v>4717</v>
          </cell>
          <cell r="I235">
            <v>127.63</v>
          </cell>
          <cell r="J235" t="str">
            <v>O</v>
          </cell>
        </row>
        <row r="236">
          <cell r="A236" t="str">
            <v>HFWA10CNN2NAAR-00</v>
          </cell>
          <cell r="B236">
            <v>3759</v>
          </cell>
          <cell r="C236">
            <v>403</v>
          </cell>
          <cell r="D236">
            <v>875</v>
          </cell>
          <cell r="E236">
            <v>96</v>
          </cell>
          <cell r="F236">
            <v>5133</v>
          </cell>
          <cell r="G236">
            <v>770</v>
          </cell>
          <cell r="H236">
            <v>5903</v>
          </cell>
          <cell r="I236">
            <v>146</v>
          </cell>
          <cell r="J236" t="str">
            <v>O</v>
          </cell>
        </row>
        <row r="237">
          <cell r="A237" t="str">
            <v>HFWA12CNN2NAAR-00</v>
          </cell>
          <cell r="B237">
            <v>4224</v>
          </cell>
          <cell r="C237">
            <v>444</v>
          </cell>
          <cell r="D237">
            <v>940</v>
          </cell>
          <cell r="E237">
            <v>103</v>
          </cell>
          <cell r="F237">
            <v>5711</v>
          </cell>
          <cell r="G237">
            <v>827</v>
          </cell>
          <cell r="H237">
            <v>6538</v>
          </cell>
          <cell r="I237">
            <v>156.83000000000001</v>
          </cell>
          <cell r="J237" t="str">
            <v>O</v>
          </cell>
        </row>
        <row r="238">
          <cell r="A238" t="str">
            <v>HFWA14CNN2NAAR-00</v>
          </cell>
          <cell r="B238">
            <v>4472</v>
          </cell>
          <cell r="C238">
            <v>464</v>
          </cell>
          <cell r="D238">
            <v>940</v>
          </cell>
          <cell r="E238">
            <v>103</v>
          </cell>
          <cell r="F238">
            <v>5979</v>
          </cell>
          <cell r="G238">
            <v>827</v>
          </cell>
          <cell r="H238">
            <v>6806</v>
          </cell>
          <cell r="I238">
            <v>156.83000000000001</v>
          </cell>
          <cell r="J238" t="str">
            <v>O</v>
          </cell>
        </row>
        <row r="239">
          <cell r="A239" t="str">
            <v>HFWA03CNN5NAAR-00</v>
          </cell>
          <cell r="B239">
            <v>1759</v>
          </cell>
          <cell r="C239">
            <v>265</v>
          </cell>
          <cell r="D239">
            <v>687</v>
          </cell>
          <cell r="E239">
            <v>76</v>
          </cell>
          <cell r="F239">
            <v>2787</v>
          </cell>
          <cell r="G239">
            <v>605</v>
          </cell>
          <cell r="H239">
            <v>3392</v>
          </cell>
          <cell r="I239">
            <v>114.63</v>
          </cell>
          <cell r="J239" t="str">
            <v>O</v>
          </cell>
        </row>
        <row r="240">
          <cell r="A240" t="str">
            <v>HFWA04CNN5NAAR-00</v>
          </cell>
          <cell r="B240">
            <v>2049</v>
          </cell>
          <cell r="C240">
            <v>297</v>
          </cell>
          <cell r="D240">
            <v>694</v>
          </cell>
          <cell r="E240">
            <v>76</v>
          </cell>
          <cell r="F240">
            <v>3116</v>
          </cell>
          <cell r="G240">
            <v>611</v>
          </cell>
          <cell r="H240">
            <v>3727</v>
          </cell>
          <cell r="I240">
            <v>115.85</v>
          </cell>
          <cell r="J240" t="str">
            <v>O</v>
          </cell>
        </row>
        <row r="241">
          <cell r="A241" t="str">
            <v>HFWA06CNN5NAAR-00</v>
          </cell>
          <cell r="B241">
            <v>2449</v>
          </cell>
          <cell r="C241">
            <v>322</v>
          </cell>
          <cell r="D241">
            <v>742</v>
          </cell>
          <cell r="E241">
            <v>82</v>
          </cell>
          <cell r="F241">
            <v>3595</v>
          </cell>
          <cell r="G241">
            <v>653</v>
          </cell>
          <cell r="H241">
            <v>4248</v>
          </cell>
          <cell r="I241">
            <v>123.81</v>
          </cell>
          <cell r="J241" t="str">
            <v>O</v>
          </cell>
        </row>
        <row r="242">
          <cell r="A242" t="str">
            <v>HFWA08CNN5NAAR-00</v>
          </cell>
          <cell r="B242">
            <v>2816</v>
          </cell>
          <cell r="C242">
            <v>376</v>
          </cell>
          <cell r="D242">
            <v>765</v>
          </cell>
          <cell r="E242">
            <v>84</v>
          </cell>
          <cell r="F242">
            <v>4041</v>
          </cell>
          <cell r="G242">
            <v>673</v>
          </cell>
          <cell r="H242">
            <v>4714</v>
          </cell>
          <cell r="I242">
            <v>127.63</v>
          </cell>
          <cell r="J242" t="str">
            <v>O</v>
          </cell>
        </row>
        <row r="243">
          <cell r="A243" t="str">
            <v>HFWA10CNN5NAAR-00</v>
          </cell>
          <cell r="B243">
            <v>3702</v>
          </cell>
          <cell r="C243">
            <v>403</v>
          </cell>
          <cell r="D243">
            <v>875</v>
          </cell>
          <cell r="E243">
            <v>96</v>
          </cell>
          <cell r="F243">
            <v>5076</v>
          </cell>
          <cell r="G243">
            <v>770</v>
          </cell>
          <cell r="H243">
            <v>5846</v>
          </cell>
          <cell r="I243">
            <v>146</v>
          </cell>
          <cell r="J243" t="str">
            <v>O</v>
          </cell>
        </row>
        <row r="244">
          <cell r="A244" t="str">
            <v>HFWA12CNN5NAAR-00</v>
          </cell>
          <cell r="B244">
            <v>4246</v>
          </cell>
          <cell r="C244">
            <v>444</v>
          </cell>
          <cell r="D244">
            <v>940</v>
          </cell>
          <cell r="E244">
            <v>103</v>
          </cell>
          <cell r="F244">
            <v>5733</v>
          </cell>
          <cell r="G244">
            <v>827</v>
          </cell>
          <cell r="H244">
            <v>6560</v>
          </cell>
          <cell r="I244">
            <v>156.83000000000001</v>
          </cell>
          <cell r="J244" t="str">
            <v>O</v>
          </cell>
        </row>
        <row r="245">
          <cell r="A245" t="str">
            <v>HFWA14CNN5NAAR-00</v>
          </cell>
          <cell r="B245">
            <v>4466</v>
          </cell>
          <cell r="C245">
            <v>464</v>
          </cell>
          <cell r="D245">
            <v>940</v>
          </cell>
          <cell r="E245">
            <v>103</v>
          </cell>
          <cell r="F245">
            <v>5973</v>
          </cell>
          <cell r="G245">
            <v>827</v>
          </cell>
          <cell r="H245">
            <v>6800</v>
          </cell>
          <cell r="I245">
            <v>156.83000000000001</v>
          </cell>
          <cell r="J245" t="str">
            <v>O</v>
          </cell>
        </row>
        <row r="246">
          <cell r="A246" t="str">
            <v>HFWA W/ STAINLESS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HFWA03CNN2NCAR-00</v>
          </cell>
          <cell r="B247">
            <v>1912</v>
          </cell>
          <cell r="C247">
            <v>368</v>
          </cell>
          <cell r="D247">
            <v>687</v>
          </cell>
          <cell r="E247">
            <v>76</v>
          </cell>
          <cell r="F247">
            <v>3043</v>
          </cell>
          <cell r="G247">
            <v>605</v>
          </cell>
          <cell r="H247">
            <v>3648</v>
          </cell>
          <cell r="I247">
            <v>114.63</v>
          </cell>
          <cell r="J247" t="str">
            <v>O</v>
          </cell>
        </row>
        <row r="248">
          <cell r="A248" t="str">
            <v>HFWA04CNN2NCAR-00</v>
          </cell>
          <cell r="B248">
            <v>2157</v>
          </cell>
          <cell r="C248">
            <v>399</v>
          </cell>
          <cell r="D248">
            <v>694</v>
          </cell>
          <cell r="E248">
            <v>76</v>
          </cell>
          <cell r="F248">
            <v>3326</v>
          </cell>
          <cell r="G248">
            <v>611</v>
          </cell>
          <cell r="H248">
            <v>3937</v>
          </cell>
          <cell r="I248">
            <v>115.85</v>
          </cell>
          <cell r="J248" t="str">
            <v>O</v>
          </cell>
        </row>
        <row r="249">
          <cell r="A249" t="str">
            <v>HFWA06CNN2NCAR-00</v>
          </cell>
          <cell r="B249">
            <v>2577</v>
          </cell>
          <cell r="C249">
            <v>418</v>
          </cell>
          <cell r="D249">
            <v>742</v>
          </cell>
          <cell r="E249">
            <v>82</v>
          </cell>
          <cell r="F249">
            <v>3819</v>
          </cell>
          <cell r="G249">
            <v>653</v>
          </cell>
          <cell r="H249">
            <v>4472</v>
          </cell>
          <cell r="I249">
            <v>123.81</v>
          </cell>
          <cell r="J249" t="str">
            <v>O</v>
          </cell>
        </row>
        <row r="250">
          <cell r="A250" t="str">
            <v>HFWA08CNN2NCAR-00</v>
          </cell>
          <cell r="B250">
            <v>2999</v>
          </cell>
          <cell r="C250">
            <v>466</v>
          </cell>
          <cell r="D250">
            <v>765</v>
          </cell>
          <cell r="E250">
            <v>84</v>
          </cell>
          <cell r="F250">
            <v>4314</v>
          </cell>
          <cell r="G250">
            <v>673</v>
          </cell>
          <cell r="H250">
            <v>4987</v>
          </cell>
          <cell r="I250">
            <v>127.63</v>
          </cell>
          <cell r="J250" t="str">
            <v>O</v>
          </cell>
        </row>
        <row r="251">
          <cell r="A251" t="str">
            <v>HFWA10CNN2NCAR-00</v>
          </cell>
          <cell r="B251">
            <v>3952</v>
          </cell>
          <cell r="C251">
            <v>492</v>
          </cell>
          <cell r="D251">
            <v>875</v>
          </cell>
          <cell r="E251">
            <v>96</v>
          </cell>
          <cell r="F251">
            <v>5415</v>
          </cell>
          <cell r="G251">
            <v>770</v>
          </cell>
          <cell r="H251">
            <v>6185</v>
          </cell>
          <cell r="I251">
            <v>146</v>
          </cell>
          <cell r="J251" t="str">
            <v>O</v>
          </cell>
        </row>
        <row r="252">
          <cell r="A252" t="str">
            <v>HFWA12CNN2NCAR-00</v>
          </cell>
          <cell r="B252">
            <v>4444</v>
          </cell>
          <cell r="C252">
            <v>529</v>
          </cell>
          <cell r="D252">
            <v>940</v>
          </cell>
          <cell r="E252">
            <v>103</v>
          </cell>
          <cell r="F252">
            <v>6016</v>
          </cell>
          <cell r="G252">
            <v>827</v>
          </cell>
          <cell r="H252">
            <v>6843</v>
          </cell>
          <cell r="I252">
            <v>156.83000000000001</v>
          </cell>
          <cell r="J252" t="str">
            <v>O</v>
          </cell>
        </row>
        <row r="253">
          <cell r="A253" t="str">
            <v>HFWA14CNN2NCAR-00</v>
          </cell>
          <cell r="B253">
            <v>4692</v>
          </cell>
          <cell r="C253">
            <v>549</v>
          </cell>
          <cell r="D253">
            <v>940</v>
          </cell>
          <cell r="E253">
            <v>103</v>
          </cell>
          <cell r="F253">
            <v>6284</v>
          </cell>
          <cell r="G253">
            <v>827</v>
          </cell>
          <cell r="H253">
            <v>7111</v>
          </cell>
          <cell r="I253">
            <v>156.83000000000001</v>
          </cell>
          <cell r="J253" t="str">
            <v>O</v>
          </cell>
        </row>
        <row r="254">
          <cell r="A254" t="str">
            <v>HFWA W/ STAINLESS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HFWA03CNN2NCAR-00</v>
          </cell>
          <cell r="B255">
            <v>1912</v>
          </cell>
          <cell r="C255">
            <v>368</v>
          </cell>
          <cell r="D255">
            <v>687</v>
          </cell>
          <cell r="E255">
            <v>76</v>
          </cell>
          <cell r="F255">
            <v>3043</v>
          </cell>
          <cell r="G255">
            <v>605</v>
          </cell>
          <cell r="H255">
            <v>3648</v>
          </cell>
          <cell r="I255">
            <v>114.63</v>
          </cell>
          <cell r="J255" t="str">
            <v>O</v>
          </cell>
        </row>
        <row r="256">
          <cell r="A256" t="str">
            <v>HFWA04CNN2NCAR-00</v>
          </cell>
          <cell r="B256">
            <v>2157</v>
          </cell>
          <cell r="C256">
            <v>399</v>
          </cell>
          <cell r="D256">
            <v>694</v>
          </cell>
          <cell r="E256">
            <v>76</v>
          </cell>
          <cell r="F256">
            <v>3326</v>
          </cell>
          <cell r="G256">
            <v>611</v>
          </cell>
          <cell r="H256">
            <v>3937</v>
          </cell>
          <cell r="I256">
            <v>115.85</v>
          </cell>
          <cell r="J256" t="str">
            <v>O</v>
          </cell>
        </row>
        <row r="257">
          <cell r="A257" t="str">
            <v>HFWA06CNN2NCAR-00</v>
          </cell>
          <cell r="B257">
            <v>2577</v>
          </cell>
          <cell r="C257">
            <v>418</v>
          </cell>
          <cell r="D257">
            <v>742</v>
          </cell>
          <cell r="E257">
            <v>82</v>
          </cell>
          <cell r="F257">
            <v>3819</v>
          </cell>
          <cell r="G257">
            <v>653</v>
          </cell>
          <cell r="H257">
            <v>4472</v>
          </cell>
          <cell r="I257">
            <v>123.81</v>
          </cell>
          <cell r="J257" t="str">
            <v>O</v>
          </cell>
        </row>
        <row r="258">
          <cell r="A258" t="str">
            <v>HFWA08CNN2NCAR-00</v>
          </cell>
          <cell r="B258">
            <v>2999</v>
          </cell>
          <cell r="C258">
            <v>466</v>
          </cell>
          <cell r="D258">
            <v>765</v>
          </cell>
          <cell r="E258">
            <v>84</v>
          </cell>
          <cell r="F258">
            <v>4314</v>
          </cell>
          <cell r="G258">
            <v>673</v>
          </cell>
          <cell r="H258">
            <v>4987</v>
          </cell>
          <cell r="I258">
            <v>127.63</v>
          </cell>
          <cell r="J258" t="str">
            <v>O</v>
          </cell>
        </row>
        <row r="259">
          <cell r="A259" t="str">
            <v>HFWA10CNN2NCAR-00</v>
          </cell>
          <cell r="B259">
            <v>3952</v>
          </cell>
          <cell r="C259">
            <v>492</v>
          </cell>
          <cell r="D259">
            <v>875</v>
          </cell>
          <cell r="E259">
            <v>96</v>
          </cell>
          <cell r="F259">
            <v>5415</v>
          </cell>
          <cell r="G259">
            <v>770</v>
          </cell>
          <cell r="H259">
            <v>6185</v>
          </cell>
          <cell r="I259">
            <v>146</v>
          </cell>
          <cell r="J259" t="str">
            <v>O</v>
          </cell>
        </row>
        <row r="260">
          <cell r="A260" t="str">
            <v>HFWA12CNN2NCAR-00</v>
          </cell>
          <cell r="B260">
            <v>4444</v>
          </cell>
          <cell r="C260">
            <v>529</v>
          </cell>
          <cell r="D260">
            <v>940</v>
          </cell>
          <cell r="E260">
            <v>103</v>
          </cell>
          <cell r="F260">
            <v>6016</v>
          </cell>
          <cell r="G260">
            <v>827</v>
          </cell>
          <cell r="H260">
            <v>6843</v>
          </cell>
          <cell r="I260">
            <v>156.83000000000001</v>
          </cell>
          <cell r="J260" t="str">
            <v>O</v>
          </cell>
        </row>
        <row r="261">
          <cell r="A261" t="str">
            <v>HFWA14CNN2NCAR-00</v>
          </cell>
          <cell r="B261">
            <v>4692</v>
          </cell>
          <cell r="C261">
            <v>549</v>
          </cell>
          <cell r="D261">
            <v>940</v>
          </cell>
          <cell r="E261">
            <v>103</v>
          </cell>
          <cell r="F261">
            <v>6284</v>
          </cell>
          <cell r="G261">
            <v>827</v>
          </cell>
          <cell r="H261">
            <v>7111</v>
          </cell>
          <cell r="I261">
            <v>156.83000000000001</v>
          </cell>
          <cell r="J261" t="str">
            <v>O</v>
          </cell>
        </row>
      </sheetData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G"/>
      <sheetName val="HF"/>
      <sheetName val="HC"/>
      <sheetName val="MCD P"/>
      <sheetName val="Statistic"/>
      <sheetName val="Statistic - project"/>
      <sheetName val="CG (2)"/>
      <sheetName val="HF-Dealer"/>
      <sheetName val="HC-Dealer"/>
      <sheetName val="Statistic (2)"/>
    </sheetNames>
    <sheetDataSet>
      <sheetData sheetId="0">
        <row r="2">
          <cell r="K2">
            <v>37790.431504629632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首頁"/>
      <sheetName val="封面"/>
      <sheetName val="儀器使用申請單"/>
      <sheetName val="人員支援申請單"/>
      <sheetName val="訪測車輛申請單"/>
      <sheetName val="外ok表"/>
      <sheetName val="缺失點檢表"/>
      <sheetName val="自評總表"/>
      <sheetName val="自評分表"/>
      <sheetName val="客戶訪問記錄"/>
      <sheetName val="目錄"/>
      <sheetName val="摘要一"/>
      <sheetName val="產能統計"/>
      <sheetName val="直接改善措施表"/>
      <sheetName val="間接改善措施表"/>
      <sheetName val="前言"/>
      <sheetName val="廠家簡介"/>
      <sheetName val="生產流程"/>
      <sheetName val="公用及製程耗能設備"/>
      <sheetName val="能源流向"/>
      <sheetName val="能源分配圖"/>
      <sheetName val="用電調查表"/>
      <sheetName val="年kW"/>
      <sheetName val="最佳契約容量措施"/>
      <sheetName val="契約容量訂定計算書"/>
      <sheetName val="二段改三段"/>
      <sheetName val="二段改三段計算書"/>
      <sheetName val="需量控制"/>
      <sheetName val="需量計算書"/>
      <sheetName val="功因改善措施"/>
      <sheetName val="功因改善計算書"/>
      <sheetName val="照明措施表"/>
      <sheetName val="安定器比較表"/>
      <sheetName val="照明計算表"/>
      <sheetName val="結論"/>
      <sheetName val="附件"/>
    </sheetNames>
    <sheetDataSet>
      <sheetData sheetId="0" refreshError="1">
        <row r="6">
          <cell r="C6" t="str">
            <v>儀器申請使用單</v>
          </cell>
        </row>
        <row r="7">
          <cell r="C7" t="str">
            <v>人員支援申請單</v>
          </cell>
        </row>
        <row r="8">
          <cell r="C8" t="str">
            <v>訪測車輛申請單</v>
          </cell>
        </row>
        <row r="9">
          <cell r="C9" t="str">
            <v>公出單填寫</v>
          </cell>
        </row>
      </sheetData>
      <sheetData sheetId="1" refreshError="1"/>
      <sheetData sheetId="2" refreshError="1">
        <row r="10">
          <cell r="P10" t="str">
            <v>電力分析儀</v>
          </cell>
        </row>
        <row r="11">
          <cell r="P11" t="str">
            <v>六點式記錄器</v>
          </cell>
        </row>
        <row r="12">
          <cell r="P12" t="str">
            <v>時間差流量計</v>
          </cell>
        </row>
        <row r="13">
          <cell r="P13" t="str">
            <v>溫.濕度及風速計</v>
          </cell>
        </row>
        <row r="14">
          <cell r="P14" t="str">
            <v>延長線</v>
          </cell>
        </row>
        <row r="15">
          <cell r="P15" t="str">
            <v>口罩、耳塞</v>
          </cell>
        </row>
        <row r="16">
          <cell r="P16" t="str">
            <v>手套</v>
          </cell>
        </row>
        <row r="17">
          <cell r="P17" t="str">
            <v>PH棒、導電計、全硬度計</v>
          </cell>
        </row>
      </sheetData>
      <sheetData sheetId="3"/>
      <sheetData sheetId="4" refreshError="1">
        <row r="12">
          <cell r="F12" t="str">
            <v>轎車</v>
          </cell>
        </row>
        <row r="13">
          <cell r="F13" t="str">
            <v>九人座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自評表"/>
      <sheetName val="附件二能源分配表"/>
      <sheetName val="客戶基本資料對話"/>
      <sheetName val="冰水主機對話"/>
      <sheetName val="系統畫面對話"/>
      <sheetName val="系統操作畫面"/>
      <sheetName val="Sheet2"/>
      <sheetName val="附件_空調箱規格測試表"/>
      <sheetName val="無塵室省能1"/>
      <sheetName val="輸入空氣條件對話"/>
      <sheetName val="客戶基本資料對話一"/>
      <sheetName val="冷卻水塔對話"/>
      <sheetName val="訪測前所需文件對話"/>
      <sheetName val="電力系統對話"/>
      <sheetName val="空調系統對話"/>
      <sheetName val="冰水主機對話11"/>
      <sheetName val="結果對話"/>
      <sheetName val="封面"/>
      <sheetName val="目錄"/>
      <sheetName val="台電電價表"/>
      <sheetName val="１、前言"/>
      <sheetName val="摘要一(總體效益)"/>
      <sheetName val="摘要二(產能調查)"/>
      <sheetName val="效益一(直接措施)"/>
      <sheetName val="效益二(間接措施)"/>
      <sheetName val="2、廠家概述(2-1廠家簡介)"/>
      <sheetName val="2-2生產流程"/>
      <sheetName val="2-3耗能設備"/>
      <sheetName val="2-4能源流向"/>
      <sheetName val="2-5能源分配圖"/>
      <sheetName val="訂定合理契約容量"/>
      <sheetName val="時間電價訂定"/>
      <sheetName val="功因改善"/>
      <sheetName val="2-6測試元件規格資料"/>
      <sheetName val="2-7測試儀器履歷表"/>
      <sheetName val="3、技術服務建議事項"/>
      <sheetName val="冰水主機台數控制"/>
      <sheetName val="冰水主機效率提高"/>
      <sheetName val="冰水出溫提高"/>
      <sheetName val="縮減空調面積"/>
      <sheetName val="汰換蒸汽型加濕器"/>
      <sheetName val="冷卻水進溫降低"/>
      <sheetName val="風車加裝變頻器"/>
      <sheetName val="選用適當泵浦"/>
      <sheetName val="泵浦加裝變頻器"/>
      <sheetName val="泵浦台數控制"/>
      <sheetName val="改善冷卻水質"/>
      <sheetName val="宿舍熱水改用熱源"/>
      <sheetName val="4、結論"/>
      <sheetName val="5、附件"/>
      <sheetName val="附件_用電調查表"/>
      <sheetName val="CLS10級"/>
      <sheetName val="１、前言 (2)"/>
      <sheetName val="空氣線圖"/>
      <sheetName val="空調系統空氣側對話"/>
      <sheetName val="電費單對話"/>
      <sheetName val="合理契約容量計算對話"/>
      <sheetName val="附件_合理契約容量計算"/>
      <sheetName val="全年用電kW及kWh圖對話"/>
      <sheetName val="附件_時間電價計算"/>
      <sheetName val="附件_功因改善計算書"/>
      <sheetName val="附件_冰機房示意圖"/>
      <sheetName val="附件_SOP3冰機規格測試表"/>
      <sheetName val="冷媒kgcm2"/>
      <sheetName val="冷媒PSI"/>
      <sheetName val="冷媒KPA"/>
      <sheetName val="4、結論 (3)"/>
      <sheetName val="5、附件 (2)"/>
      <sheetName val="附件_公用設備負載"/>
      <sheetName val="附件_無塵室內設備負載"/>
      <sheetName val="Sheet5"/>
      <sheetName val="附件_SOP9冷卻水塔規格測試表"/>
      <sheetName val="附件_冰水泵浦規格測試表"/>
      <sheetName val="附件_冷卻水泵浦規格測試表"/>
      <sheetName val="附件_區域及其他泵浦規格測試表"/>
      <sheetName val="4、結論 (2)"/>
      <sheetName val="附件_冰機台數控制計算"/>
      <sheetName val="附件_冰水出溫提高計算書"/>
      <sheetName val="附件_冷卻水塔風車加裝變頻器計算書"/>
      <sheetName val="附件_調整冰機冷卻水溫計算"/>
      <sheetName val="車輛需求申請單"/>
      <sheetName val="人員需求申請單"/>
      <sheetName val="儀器需求申請單"/>
      <sheetName val="附件九冰機效率提高計算"/>
      <sheetName val="空調面積及其他判斷"/>
      <sheetName val="附件_汰換蒸汽型加濕器計算書"/>
      <sheetName val="空調熱能運用判斷對話"/>
      <sheetName val="氣象資料庫"/>
      <sheetName val="外ok表"/>
      <sheetName val="內ok表"/>
      <sheetName val="評核表"/>
      <sheetName val="客戶訪問記錄"/>
    </sheetNames>
    <sheetDataSet>
      <sheetData sheetId="0"/>
      <sheetData sheetId="1"/>
      <sheetData sheetId="2"/>
      <sheetData sheetId="3"/>
      <sheetData sheetId="4"/>
      <sheetData sheetId="5">
        <row r="2">
          <cell r="V2">
            <v>2</v>
          </cell>
          <cell r="W2">
            <v>2</v>
          </cell>
        </row>
        <row r="3">
          <cell r="V3">
            <v>1</v>
          </cell>
          <cell r="W3">
            <v>1</v>
          </cell>
        </row>
        <row r="4">
          <cell r="V4">
            <v>2</v>
          </cell>
        </row>
        <row r="5">
          <cell r="V5">
            <v>1</v>
          </cell>
        </row>
        <row r="6">
          <cell r="V6">
            <v>2</v>
          </cell>
        </row>
        <row r="7">
          <cell r="V7">
            <v>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">
          <cell r="T4" t="str">
            <v>台北縣中和市</v>
          </cell>
          <cell r="U4">
            <v>235</v>
          </cell>
          <cell r="V4">
            <v>8</v>
          </cell>
        </row>
        <row r="5">
          <cell r="T5" t="str">
            <v>台北縣土城市</v>
          </cell>
          <cell r="U5">
            <v>236</v>
          </cell>
        </row>
        <row r="6">
          <cell r="T6" t="str">
            <v>台北縣新莊市</v>
          </cell>
          <cell r="U6">
            <v>242</v>
          </cell>
        </row>
        <row r="7">
          <cell r="T7" t="str">
            <v>台北縣泰山鄉</v>
          </cell>
          <cell r="U7">
            <v>243</v>
          </cell>
        </row>
        <row r="8">
          <cell r="T8" t="str">
            <v>台北縣林口鎮</v>
          </cell>
          <cell r="U8">
            <v>244</v>
          </cell>
        </row>
        <row r="9">
          <cell r="T9" t="str">
            <v>台北縣五股鎮</v>
          </cell>
          <cell r="U9">
            <v>248</v>
          </cell>
        </row>
        <row r="10">
          <cell r="T10" t="str">
            <v>台北縣淡水鎮</v>
          </cell>
          <cell r="U10">
            <v>251</v>
          </cell>
        </row>
        <row r="11">
          <cell r="T11" t="str">
            <v>新竹市</v>
          </cell>
          <cell r="U11">
            <v>300</v>
          </cell>
        </row>
        <row r="12">
          <cell r="T12" t="str">
            <v>新竹市科學園區</v>
          </cell>
          <cell r="U12">
            <v>300</v>
          </cell>
        </row>
        <row r="13">
          <cell r="T13" t="str">
            <v>新竹縣竹北市</v>
          </cell>
          <cell r="U13">
            <v>302</v>
          </cell>
        </row>
        <row r="14">
          <cell r="T14" t="str">
            <v>新竹縣湖口鄉</v>
          </cell>
          <cell r="U14">
            <v>303</v>
          </cell>
        </row>
        <row r="15">
          <cell r="T15" t="str">
            <v>新竹縣新豐鄉</v>
          </cell>
          <cell r="U15">
            <v>304</v>
          </cell>
        </row>
        <row r="16">
          <cell r="T16" t="str">
            <v>新竹縣新埔鎮</v>
          </cell>
          <cell r="U16">
            <v>305</v>
          </cell>
        </row>
        <row r="17">
          <cell r="T17" t="str">
            <v>新竹縣竹東鎮</v>
          </cell>
          <cell r="U17">
            <v>310</v>
          </cell>
        </row>
        <row r="18">
          <cell r="T18" t="str">
            <v>桃園縣中壢市</v>
          </cell>
          <cell r="U18">
            <v>320</v>
          </cell>
        </row>
        <row r="19">
          <cell r="T19" t="str">
            <v>桃園縣平鎮市</v>
          </cell>
          <cell r="U19">
            <v>324</v>
          </cell>
        </row>
        <row r="20">
          <cell r="T20" t="str">
            <v>桃園縣龍潭鄉</v>
          </cell>
          <cell r="U20">
            <v>325</v>
          </cell>
        </row>
        <row r="21">
          <cell r="T21" t="str">
            <v>桃園縣楊梅鎮</v>
          </cell>
          <cell r="U21">
            <v>326</v>
          </cell>
        </row>
        <row r="22">
          <cell r="T22" t="str">
            <v>桃園縣龜山鎮</v>
          </cell>
          <cell r="U22">
            <v>333</v>
          </cell>
        </row>
        <row r="25">
          <cell r="V25">
            <v>1</v>
          </cell>
        </row>
        <row r="27">
          <cell r="V27">
            <v>1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1">
    <tabColor rgb="FFC00000"/>
    <pageSetUpPr fitToPage="1"/>
  </sheetPr>
  <dimension ref="A1:V83"/>
  <sheetViews>
    <sheetView showGridLines="0" tabSelected="1" view="pageLayout" topLeftCell="A8" zoomScale="55" zoomScaleNormal="100" zoomScaleSheetLayoutView="75" zoomScalePageLayoutView="55" workbookViewId="0">
      <selection activeCell="I28" sqref="I28:K28"/>
    </sheetView>
  </sheetViews>
  <sheetFormatPr defaultColWidth="9" defaultRowHeight="18" x14ac:dyDescent="0.35"/>
  <cols>
    <col min="1" max="2" width="12.33203125" style="1" customWidth="1"/>
    <col min="3" max="3" width="10.109375" style="1" customWidth="1"/>
    <col min="4" max="5" width="9" style="1"/>
    <col min="6" max="8" width="11.44140625" style="1" customWidth="1"/>
    <col min="9" max="11" width="12.33203125" style="1" customWidth="1"/>
    <col min="12" max="12" width="8.6640625" style="1" customWidth="1"/>
    <col min="13" max="14" width="12" style="1" customWidth="1"/>
    <col min="15" max="15" width="12.21875" style="1" customWidth="1"/>
    <col min="16" max="17" width="13.21875" style="1" customWidth="1"/>
    <col min="18" max="19" width="12.6640625" style="1" customWidth="1"/>
    <col min="20" max="16384" width="9" style="1"/>
  </cols>
  <sheetData>
    <row r="1" spans="1:22" ht="18.75" customHeight="1" x14ac:dyDescent="0.35">
      <c r="A1" s="108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9" t="s">
        <v>180</v>
      </c>
      <c r="Q1" s="109"/>
      <c r="R1" s="109"/>
      <c r="S1" s="109"/>
    </row>
    <row r="2" spans="1:22" ht="18.75" customHeight="1" x14ac:dyDescent="0.3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9"/>
      <c r="Q2" s="109"/>
      <c r="R2" s="109"/>
      <c r="S2" s="109"/>
    </row>
    <row r="3" spans="1:22" ht="18.75" customHeight="1" x14ac:dyDescent="0.35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9"/>
      <c r="Q3" s="109"/>
      <c r="R3" s="109"/>
      <c r="S3" s="109"/>
    </row>
    <row r="4" spans="1:22" ht="18.75" customHeight="1" x14ac:dyDescent="0.35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10" t="s">
        <v>181</v>
      </c>
      <c r="Q4" s="110"/>
      <c r="R4" s="110"/>
      <c r="S4" s="110"/>
    </row>
    <row r="5" spans="1:22" ht="18.75" customHeight="1" x14ac:dyDescent="0.35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10"/>
      <c r="Q5" s="110"/>
      <c r="R5" s="110"/>
      <c r="S5" s="110"/>
    </row>
    <row r="6" spans="1:22" ht="18.75" customHeight="1" x14ac:dyDescent="0.35">
      <c r="A6" s="108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10"/>
      <c r="Q6" s="110"/>
      <c r="R6" s="110"/>
      <c r="S6" s="110"/>
    </row>
    <row r="7" spans="1:22" ht="18.75" customHeight="1" x14ac:dyDescent="0.3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45"/>
      <c r="Q7" s="45"/>
      <c r="R7" s="45"/>
      <c r="S7" s="45"/>
    </row>
    <row r="8" spans="1:22" ht="18.75" customHeight="1" x14ac:dyDescent="0.3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45"/>
      <c r="Q8" s="45"/>
      <c r="R8" s="45"/>
      <c r="S8" s="45"/>
    </row>
    <row r="9" spans="1:22" ht="18.75" customHeight="1" x14ac:dyDescent="0.3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45"/>
      <c r="Q9" s="45"/>
      <c r="R9" s="45"/>
      <c r="S9" s="45"/>
    </row>
    <row r="10" spans="1:22" ht="18.75" customHeight="1" x14ac:dyDescent="0.35">
      <c r="A10" s="108"/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45"/>
      <c r="Q10" s="45"/>
      <c r="R10" s="45"/>
      <c r="S10" s="45"/>
    </row>
    <row r="11" spans="1:22" ht="18.75" customHeight="1" x14ac:dyDescent="0.35">
      <c r="A11" s="108"/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45"/>
      <c r="Q11" s="45"/>
      <c r="R11" s="45"/>
      <c r="S11" s="45"/>
    </row>
    <row r="12" spans="1:22" ht="18.75" customHeight="1" x14ac:dyDescent="0.35">
      <c r="A12" s="108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45"/>
      <c r="Q12" s="45"/>
      <c r="R12" s="45"/>
      <c r="S12" s="45"/>
    </row>
    <row r="13" spans="1:22" ht="18.75" customHeight="1" x14ac:dyDescent="0.35">
      <c r="A13" s="108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45"/>
      <c r="Q13" s="45"/>
      <c r="R13" s="45"/>
      <c r="S13" s="45"/>
    </row>
    <row r="14" spans="1:22" ht="18.75" customHeight="1" x14ac:dyDescent="0.35">
      <c r="A14" s="108"/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45"/>
      <c r="Q14" s="45"/>
      <c r="R14" s="45"/>
      <c r="S14" s="45"/>
    </row>
    <row r="15" spans="1:22" ht="18.75" customHeight="1" x14ac:dyDescent="0.35">
      <c r="A15" s="108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45"/>
      <c r="Q15" s="45"/>
      <c r="R15" s="45"/>
      <c r="S15" s="45"/>
    </row>
    <row r="16" spans="1:22" ht="18.75" customHeight="1" x14ac:dyDescent="0.35">
      <c r="A16" s="108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45"/>
      <c r="Q16" s="45"/>
      <c r="R16" s="45"/>
      <c r="S16" s="45"/>
      <c r="U16" s="7" t="s">
        <v>168</v>
      </c>
      <c r="V16" s="7" t="s">
        <v>169</v>
      </c>
    </row>
    <row r="17" spans="1:22" ht="18.75" customHeight="1" x14ac:dyDescent="0.35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45"/>
      <c r="Q17" s="45"/>
      <c r="R17" s="45"/>
      <c r="S17" s="45"/>
      <c r="U17" s="36">
        <v>8</v>
      </c>
      <c r="V17" s="36">
        <v>1</v>
      </c>
    </row>
    <row r="18" spans="1:22" ht="18.75" customHeight="1" x14ac:dyDescent="0.35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45"/>
      <c r="Q18" s="45"/>
      <c r="R18" s="45"/>
      <c r="S18" s="45"/>
      <c r="U18" s="36">
        <v>10</v>
      </c>
      <c r="V18" s="36">
        <v>1</v>
      </c>
    </row>
    <row r="19" spans="1:22" ht="18.75" customHeight="1" x14ac:dyDescent="0.35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45"/>
      <c r="Q19" s="45"/>
      <c r="R19" s="45"/>
      <c r="S19" s="45"/>
      <c r="U19" s="36">
        <v>12</v>
      </c>
      <c r="V19" s="36">
        <v>1</v>
      </c>
    </row>
    <row r="20" spans="1:22" ht="18.75" customHeight="1" x14ac:dyDescent="0.35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45"/>
      <c r="Q20" s="45"/>
      <c r="R20" s="45"/>
      <c r="S20" s="45"/>
      <c r="U20" s="36">
        <v>14</v>
      </c>
      <c r="V20" s="36">
        <v>1</v>
      </c>
    </row>
    <row r="21" spans="1:22" x14ac:dyDescent="0.35">
      <c r="A21" s="56" t="s">
        <v>135</v>
      </c>
      <c r="B21" s="56"/>
      <c r="C21" s="20">
        <f>C60/(C24*25)</f>
        <v>0.94117647058823528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8"/>
      <c r="Q21" s="8"/>
      <c r="U21" s="36">
        <v>16</v>
      </c>
      <c r="V21" s="36">
        <v>1</v>
      </c>
    </row>
    <row r="22" spans="1:22" x14ac:dyDescent="0.35">
      <c r="A22" s="56" t="s">
        <v>136</v>
      </c>
      <c r="B22" s="56"/>
      <c r="C22" s="7">
        <f>VLOOKUP(C24,$U$17:$V$43,2,0)</f>
        <v>2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8"/>
      <c r="Q22" s="8"/>
      <c r="U22" s="36">
        <v>18</v>
      </c>
      <c r="V22" s="36">
        <v>1</v>
      </c>
    </row>
    <row r="23" spans="1:22" ht="18.600000000000001" thickBot="1" x14ac:dyDescent="0.4">
      <c r="F23" s="63" t="s">
        <v>94</v>
      </c>
      <c r="G23" s="63"/>
      <c r="H23" s="63"/>
      <c r="I23" s="63"/>
      <c r="N23" s="2" t="s">
        <v>184</v>
      </c>
      <c r="O23" s="2"/>
      <c r="P23" s="2"/>
      <c r="U23" s="36">
        <v>20</v>
      </c>
      <c r="V23" s="36">
        <v>1</v>
      </c>
    </row>
    <row r="24" spans="1:22" ht="21.75" customHeight="1" x14ac:dyDescent="0.35">
      <c r="A24" s="64" t="s">
        <v>91</v>
      </c>
      <c r="B24" s="65"/>
      <c r="C24" s="21">
        <v>34</v>
      </c>
      <c r="D24" s="19"/>
      <c r="F24" s="95" t="s">
        <v>0</v>
      </c>
      <c r="G24" s="73"/>
      <c r="H24" s="62"/>
      <c r="I24" s="65" t="s">
        <v>1</v>
      </c>
      <c r="J24" s="65"/>
      <c r="K24" s="65"/>
      <c r="L24" s="11" t="s">
        <v>2</v>
      </c>
      <c r="M24" s="9"/>
      <c r="N24" s="64" t="s">
        <v>3</v>
      </c>
      <c r="O24" s="65"/>
      <c r="P24" s="65" t="s">
        <v>4</v>
      </c>
      <c r="Q24" s="65"/>
      <c r="R24" s="11" t="s">
        <v>2</v>
      </c>
      <c r="U24" s="36">
        <v>22</v>
      </c>
      <c r="V24" s="36">
        <v>2</v>
      </c>
    </row>
    <row r="25" spans="1:22" x14ac:dyDescent="0.35">
      <c r="A25" s="91" t="s">
        <v>140</v>
      </c>
      <c r="B25" s="92"/>
      <c r="C25" s="22">
        <v>100</v>
      </c>
      <c r="F25" s="12" t="s">
        <v>77</v>
      </c>
      <c r="G25" s="3" t="s">
        <v>89</v>
      </c>
      <c r="H25" s="3">
        <v>6</v>
      </c>
      <c r="I25" s="52" t="s">
        <v>5</v>
      </c>
      <c r="J25" s="52"/>
      <c r="K25" s="52"/>
      <c r="L25" s="13" t="s">
        <v>6</v>
      </c>
      <c r="N25" s="96">
        <v>2</v>
      </c>
      <c r="O25" s="52"/>
      <c r="P25" s="58" t="s">
        <v>7</v>
      </c>
      <c r="Q25" s="57"/>
      <c r="R25" s="13" t="s">
        <v>8</v>
      </c>
      <c r="U25" s="36">
        <v>24</v>
      </c>
      <c r="V25" s="36">
        <v>2</v>
      </c>
    </row>
    <row r="26" spans="1:22" ht="18.600000000000001" thickBot="1" x14ac:dyDescent="0.4">
      <c r="A26" s="93"/>
      <c r="B26" s="94"/>
      <c r="C26" s="22">
        <v>100</v>
      </c>
      <c r="F26" s="12">
        <v>8</v>
      </c>
      <c r="G26" s="3" t="s">
        <v>82</v>
      </c>
      <c r="H26" s="3">
        <v>10</v>
      </c>
      <c r="I26" s="52" t="s">
        <v>9</v>
      </c>
      <c r="J26" s="52"/>
      <c r="K26" s="52"/>
      <c r="L26" s="13" t="s">
        <v>10</v>
      </c>
      <c r="N26" s="90">
        <v>3</v>
      </c>
      <c r="O26" s="54"/>
      <c r="P26" s="59" t="s">
        <v>11</v>
      </c>
      <c r="Q26" s="60"/>
      <c r="R26" s="16" t="s">
        <v>12</v>
      </c>
      <c r="U26" s="36">
        <v>26</v>
      </c>
      <c r="V26" s="36">
        <v>2</v>
      </c>
    </row>
    <row r="27" spans="1:22" x14ac:dyDescent="0.35">
      <c r="A27" s="93"/>
      <c r="B27" s="94"/>
      <c r="C27" s="22">
        <v>100</v>
      </c>
      <c r="F27" s="12">
        <v>12</v>
      </c>
      <c r="G27" s="3" t="s">
        <v>82</v>
      </c>
      <c r="H27" s="3">
        <v>22</v>
      </c>
      <c r="I27" s="52" t="s">
        <v>13</v>
      </c>
      <c r="J27" s="52"/>
      <c r="K27" s="52"/>
      <c r="L27" s="13" t="s">
        <v>14</v>
      </c>
      <c r="U27" s="36">
        <v>28</v>
      </c>
      <c r="V27" s="36">
        <v>2</v>
      </c>
    </row>
    <row r="28" spans="1:22" ht="18.600000000000001" thickBot="1" x14ac:dyDescent="0.4">
      <c r="A28" s="93"/>
      <c r="B28" s="94"/>
      <c r="C28" s="22">
        <v>100</v>
      </c>
      <c r="F28" s="14">
        <v>24</v>
      </c>
      <c r="G28" s="15" t="s">
        <v>90</v>
      </c>
      <c r="H28" s="15" t="s">
        <v>77</v>
      </c>
      <c r="I28" s="54" t="s">
        <v>15</v>
      </c>
      <c r="J28" s="54"/>
      <c r="K28" s="54"/>
      <c r="L28" s="16" t="s">
        <v>16</v>
      </c>
      <c r="U28" s="36">
        <v>30</v>
      </c>
      <c r="V28" s="36">
        <v>2</v>
      </c>
    </row>
    <row r="29" spans="1:22" x14ac:dyDescent="0.35">
      <c r="A29" s="93"/>
      <c r="B29" s="94"/>
      <c r="C29" s="22">
        <v>100</v>
      </c>
      <c r="U29" s="36">
        <v>32</v>
      </c>
      <c r="V29" s="36">
        <v>2</v>
      </c>
    </row>
    <row r="30" spans="1:22" ht="18.600000000000001" thickBot="1" x14ac:dyDescent="0.4">
      <c r="A30" s="93"/>
      <c r="B30" s="94"/>
      <c r="C30" s="22">
        <v>100</v>
      </c>
      <c r="F30" s="63" t="s">
        <v>93</v>
      </c>
      <c r="G30" s="63"/>
      <c r="H30" s="63"/>
      <c r="I30" s="63"/>
      <c r="U30" s="36">
        <v>34</v>
      </c>
      <c r="V30" s="36">
        <v>2</v>
      </c>
    </row>
    <row r="31" spans="1:22" x14ac:dyDescent="0.35">
      <c r="A31" s="93"/>
      <c r="B31" s="94"/>
      <c r="C31" s="22">
        <v>100</v>
      </c>
      <c r="F31" s="64" t="s">
        <v>174</v>
      </c>
      <c r="G31" s="65"/>
      <c r="H31" s="65"/>
      <c r="I31" s="65" t="s">
        <v>42</v>
      </c>
      <c r="J31" s="65"/>
      <c r="K31" s="65"/>
      <c r="L31" s="11" t="s">
        <v>2</v>
      </c>
      <c r="U31" s="36">
        <v>36</v>
      </c>
      <c r="V31" s="36">
        <v>2</v>
      </c>
    </row>
    <row r="32" spans="1:22" x14ac:dyDescent="0.35">
      <c r="A32" s="93"/>
      <c r="B32" s="94"/>
      <c r="C32" s="22">
        <v>100</v>
      </c>
      <c r="F32" s="12" t="s">
        <v>78</v>
      </c>
      <c r="G32" s="3" t="s">
        <v>74</v>
      </c>
      <c r="H32" s="3">
        <v>200</v>
      </c>
      <c r="I32" s="52" t="s">
        <v>5</v>
      </c>
      <c r="J32" s="52"/>
      <c r="K32" s="52"/>
      <c r="L32" s="13" t="s">
        <v>6</v>
      </c>
      <c r="U32" s="36">
        <v>38</v>
      </c>
      <c r="V32" s="36">
        <v>2</v>
      </c>
    </row>
    <row r="33" spans="1:22" x14ac:dyDescent="0.35">
      <c r="A33" s="93"/>
      <c r="B33" s="94"/>
      <c r="C33" s="22"/>
      <c r="F33" s="12">
        <v>200</v>
      </c>
      <c r="G33" s="3" t="s">
        <v>75</v>
      </c>
      <c r="H33" s="3">
        <v>290</v>
      </c>
      <c r="I33" s="52" t="s">
        <v>9</v>
      </c>
      <c r="J33" s="52"/>
      <c r="K33" s="52"/>
      <c r="L33" s="13" t="s">
        <v>10</v>
      </c>
      <c r="U33" s="36">
        <v>40</v>
      </c>
      <c r="V33" s="36">
        <v>2</v>
      </c>
    </row>
    <row r="34" spans="1:22" x14ac:dyDescent="0.35">
      <c r="A34" s="93"/>
      <c r="B34" s="94"/>
      <c r="C34" s="22"/>
      <c r="F34" s="12">
        <v>290</v>
      </c>
      <c r="G34" s="3" t="s">
        <v>81</v>
      </c>
      <c r="H34" s="3">
        <v>640</v>
      </c>
      <c r="I34" s="52" t="s">
        <v>13</v>
      </c>
      <c r="J34" s="52"/>
      <c r="K34" s="52"/>
      <c r="L34" s="13" t="s">
        <v>14</v>
      </c>
      <c r="U34" s="36">
        <v>42</v>
      </c>
      <c r="V34" s="36">
        <v>3</v>
      </c>
    </row>
    <row r="35" spans="1:22" ht="18.600000000000001" thickBot="1" x14ac:dyDescent="0.4">
      <c r="A35" s="93"/>
      <c r="B35" s="94"/>
      <c r="C35" s="22"/>
      <c r="F35" s="14">
        <v>640</v>
      </c>
      <c r="G35" s="15" t="s">
        <v>76</v>
      </c>
      <c r="H35" s="15" t="s">
        <v>77</v>
      </c>
      <c r="I35" s="54" t="s">
        <v>15</v>
      </c>
      <c r="J35" s="54"/>
      <c r="K35" s="54"/>
      <c r="L35" s="16" t="s">
        <v>16</v>
      </c>
      <c r="U35" s="36">
        <v>44</v>
      </c>
      <c r="V35" s="36">
        <v>3</v>
      </c>
    </row>
    <row r="36" spans="1:22" x14ac:dyDescent="0.35">
      <c r="A36" s="93"/>
      <c r="B36" s="94"/>
      <c r="C36" s="22"/>
      <c r="U36" s="36">
        <v>46</v>
      </c>
      <c r="V36" s="36">
        <v>3</v>
      </c>
    </row>
    <row r="37" spans="1:22" ht="18.600000000000001" thickBot="1" x14ac:dyDescent="0.4">
      <c r="A37" s="93"/>
      <c r="B37" s="94"/>
      <c r="C37" s="22"/>
      <c r="F37" s="63" t="s">
        <v>95</v>
      </c>
      <c r="G37" s="63"/>
      <c r="H37" s="63"/>
      <c r="I37" s="63"/>
      <c r="U37" s="36">
        <v>48</v>
      </c>
      <c r="V37" s="36">
        <v>3</v>
      </c>
    </row>
    <row r="38" spans="1:22" ht="19.5" customHeight="1" x14ac:dyDescent="0.35">
      <c r="A38" s="93"/>
      <c r="B38" s="94"/>
      <c r="C38" s="22"/>
      <c r="F38" s="66" t="s">
        <v>0</v>
      </c>
      <c r="G38" s="67"/>
      <c r="H38" s="68"/>
      <c r="I38" s="65" t="s">
        <v>17</v>
      </c>
      <c r="J38" s="65"/>
      <c r="K38" s="65" t="s">
        <v>18</v>
      </c>
      <c r="L38" s="65"/>
      <c r="M38" s="82" t="s">
        <v>170</v>
      </c>
      <c r="N38" s="61" t="s">
        <v>38</v>
      </c>
      <c r="O38" s="73"/>
      <c r="P38" s="73"/>
      <c r="Q38" s="73"/>
      <c r="R38" s="73"/>
      <c r="S38" s="74"/>
      <c r="U38" s="36">
        <v>50</v>
      </c>
      <c r="V38" s="36">
        <v>3</v>
      </c>
    </row>
    <row r="39" spans="1:22" x14ac:dyDescent="0.35">
      <c r="A39" s="93"/>
      <c r="B39" s="94"/>
      <c r="C39" s="22"/>
      <c r="F39" s="69"/>
      <c r="G39" s="70"/>
      <c r="H39" s="71"/>
      <c r="I39" s="52" t="s">
        <v>116</v>
      </c>
      <c r="J39" s="52"/>
      <c r="K39" s="52"/>
      <c r="L39" s="52"/>
      <c r="M39" s="83"/>
      <c r="N39" s="52" t="s">
        <v>39</v>
      </c>
      <c r="O39" s="52"/>
      <c r="P39" s="52" t="s">
        <v>40</v>
      </c>
      <c r="Q39" s="52"/>
      <c r="R39" s="52" t="s">
        <v>41</v>
      </c>
      <c r="S39" s="53"/>
      <c r="U39" s="36">
        <v>52</v>
      </c>
      <c r="V39" s="36">
        <v>3</v>
      </c>
    </row>
    <row r="40" spans="1:22" x14ac:dyDescent="0.35">
      <c r="A40" s="93"/>
      <c r="B40" s="94"/>
      <c r="C40" s="22"/>
      <c r="F40" s="12" t="s">
        <v>77</v>
      </c>
      <c r="G40" s="3" t="s">
        <v>80</v>
      </c>
      <c r="H40" s="3">
        <v>8</v>
      </c>
      <c r="I40" s="52" t="s">
        <v>45</v>
      </c>
      <c r="J40" s="52"/>
      <c r="K40" s="52" t="s">
        <v>48</v>
      </c>
      <c r="L40" s="52"/>
      <c r="M40" s="3" t="s">
        <v>25</v>
      </c>
      <c r="N40" s="58" t="s">
        <v>22</v>
      </c>
      <c r="O40" s="57"/>
      <c r="P40" s="58" t="s">
        <v>23</v>
      </c>
      <c r="Q40" s="57"/>
      <c r="R40" s="58" t="s">
        <v>24</v>
      </c>
      <c r="S40" s="120"/>
      <c r="T40" s="9"/>
      <c r="U40" s="36">
        <v>54</v>
      </c>
      <c r="V40" s="37">
        <v>3</v>
      </c>
    </row>
    <row r="41" spans="1:22" x14ac:dyDescent="0.35">
      <c r="A41" s="93"/>
      <c r="B41" s="94"/>
      <c r="C41" s="22"/>
      <c r="F41" s="12" t="s">
        <v>77</v>
      </c>
      <c r="G41" s="3" t="s">
        <v>79</v>
      </c>
      <c r="H41" s="3">
        <v>10</v>
      </c>
      <c r="I41" s="52" t="s">
        <v>45</v>
      </c>
      <c r="J41" s="52"/>
      <c r="K41" s="52" t="s">
        <v>49</v>
      </c>
      <c r="L41" s="52"/>
      <c r="M41" s="3" t="s">
        <v>26</v>
      </c>
      <c r="N41" s="52" t="s">
        <v>23</v>
      </c>
      <c r="O41" s="52"/>
      <c r="P41" s="52" t="s">
        <v>104</v>
      </c>
      <c r="Q41" s="52"/>
      <c r="R41" s="52" t="s">
        <v>105</v>
      </c>
      <c r="S41" s="53"/>
      <c r="T41" s="9"/>
      <c r="U41" s="36">
        <v>56</v>
      </c>
      <c r="V41" s="37">
        <v>3</v>
      </c>
    </row>
    <row r="42" spans="1:22" x14ac:dyDescent="0.35">
      <c r="A42" s="93"/>
      <c r="B42" s="94"/>
      <c r="C42" s="22"/>
      <c r="F42" s="12">
        <v>12</v>
      </c>
      <c r="G42" s="3" t="s">
        <v>82</v>
      </c>
      <c r="H42" s="3">
        <v>16</v>
      </c>
      <c r="I42" s="52" t="s">
        <v>46</v>
      </c>
      <c r="J42" s="52"/>
      <c r="K42" s="52" t="s">
        <v>50</v>
      </c>
      <c r="L42" s="52"/>
      <c r="M42" s="3" t="s">
        <v>27</v>
      </c>
      <c r="N42" s="84" t="s">
        <v>24</v>
      </c>
      <c r="O42" s="92"/>
      <c r="P42" s="84" t="s">
        <v>106</v>
      </c>
      <c r="Q42" s="92"/>
      <c r="R42" s="84" t="s">
        <v>107</v>
      </c>
      <c r="S42" s="85"/>
      <c r="T42" s="9"/>
      <c r="U42" s="36">
        <v>58</v>
      </c>
      <c r="V42" s="37">
        <v>3</v>
      </c>
    </row>
    <row r="43" spans="1:22" x14ac:dyDescent="0.35">
      <c r="A43" s="93"/>
      <c r="B43" s="94"/>
      <c r="C43" s="22"/>
      <c r="F43" s="12">
        <v>18</v>
      </c>
      <c r="G43" s="3" t="s">
        <v>82</v>
      </c>
      <c r="H43" s="3">
        <v>22</v>
      </c>
      <c r="I43" s="52" t="s">
        <v>47</v>
      </c>
      <c r="J43" s="52"/>
      <c r="K43" s="52" t="s">
        <v>50</v>
      </c>
      <c r="L43" s="52"/>
      <c r="M43" s="3" t="s">
        <v>28</v>
      </c>
      <c r="N43" s="97"/>
      <c r="O43" s="71"/>
      <c r="P43" s="97"/>
      <c r="Q43" s="71"/>
      <c r="R43" s="97"/>
      <c r="S43" s="104"/>
      <c r="T43" s="9"/>
      <c r="U43" s="36">
        <v>60</v>
      </c>
      <c r="V43" s="37">
        <v>3</v>
      </c>
    </row>
    <row r="44" spans="1:22" x14ac:dyDescent="0.35">
      <c r="A44" s="93"/>
      <c r="B44" s="94"/>
      <c r="C44" s="22"/>
      <c r="F44" s="12" t="s">
        <v>77</v>
      </c>
      <c r="G44" s="3" t="s">
        <v>79</v>
      </c>
      <c r="H44" s="3">
        <v>24</v>
      </c>
      <c r="I44" s="52" t="s">
        <v>47</v>
      </c>
      <c r="J44" s="52"/>
      <c r="K44" s="52" t="s">
        <v>51</v>
      </c>
      <c r="L44" s="52"/>
      <c r="M44" s="3" t="s">
        <v>29</v>
      </c>
      <c r="N44" s="107" t="s">
        <v>130</v>
      </c>
      <c r="O44" s="107"/>
      <c r="P44" s="98" t="s">
        <v>66</v>
      </c>
      <c r="Q44" s="99"/>
      <c r="R44" s="84" t="s">
        <v>69</v>
      </c>
      <c r="S44" s="85"/>
    </row>
    <row r="45" spans="1:22" ht="19.5" customHeight="1" x14ac:dyDescent="0.35">
      <c r="A45" s="93"/>
      <c r="B45" s="94"/>
      <c r="C45" s="22"/>
      <c r="F45" s="12">
        <v>26</v>
      </c>
      <c r="G45" s="3" t="s">
        <v>82</v>
      </c>
      <c r="H45" s="3">
        <v>34</v>
      </c>
      <c r="I45" s="52" t="s">
        <v>48</v>
      </c>
      <c r="J45" s="52"/>
      <c r="K45" s="52" t="s">
        <v>99</v>
      </c>
      <c r="L45" s="52"/>
      <c r="M45" s="3" t="s">
        <v>30</v>
      </c>
      <c r="N45" s="107"/>
      <c r="O45" s="107"/>
      <c r="P45" s="100"/>
      <c r="Q45" s="101"/>
      <c r="R45" s="105"/>
      <c r="S45" s="106"/>
    </row>
    <row r="46" spans="1:22" ht="18.600000000000001" thickBot="1" x14ac:dyDescent="0.4">
      <c r="A46" s="93"/>
      <c r="B46" s="94"/>
      <c r="C46" s="22"/>
      <c r="F46" s="14">
        <v>36</v>
      </c>
      <c r="G46" s="15" t="s">
        <v>82</v>
      </c>
      <c r="H46" s="15">
        <v>60</v>
      </c>
      <c r="I46" s="54" t="s">
        <v>48</v>
      </c>
      <c r="J46" s="54"/>
      <c r="K46" s="54" t="s">
        <v>58</v>
      </c>
      <c r="L46" s="54"/>
      <c r="M46" s="15" t="s">
        <v>31</v>
      </c>
      <c r="N46" s="88" t="s">
        <v>131</v>
      </c>
      <c r="O46" s="88"/>
      <c r="P46" s="102"/>
      <c r="Q46" s="103"/>
      <c r="R46" s="86"/>
      <c r="S46" s="87"/>
    </row>
    <row r="47" spans="1:22" x14ac:dyDescent="0.35">
      <c r="A47" s="93"/>
      <c r="B47" s="94"/>
      <c r="C47" s="22"/>
      <c r="F47" s="75" t="s">
        <v>108</v>
      </c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</row>
    <row r="48" spans="1:22" x14ac:dyDescent="0.35">
      <c r="A48" s="93"/>
      <c r="B48" s="94"/>
      <c r="C48" s="22"/>
      <c r="F48" s="10" t="s">
        <v>109</v>
      </c>
    </row>
    <row r="49" spans="1:19" x14ac:dyDescent="0.35">
      <c r="A49" s="93"/>
      <c r="B49" s="94"/>
      <c r="C49" s="22"/>
    </row>
    <row r="50" spans="1:19" ht="18.600000000000001" thickBot="1" x14ac:dyDescent="0.4">
      <c r="A50" s="93"/>
      <c r="B50" s="94"/>
      <c r="C50" s="22"/>
      <c r="F50" s="63" t="s">
        <v>96</v>
      </c>
      <c r="G50" s="63"/>
      <c r="H50" s="63"/>
      <c r="I50" s="63"/>
    </row>
    <row r="51" spans="1:19" x14ac:dyDescent="0.35">
      <c r="A51" s="93"/>
      <c r="B51" s="94"/>
      <c r="C51" s="22"/>
      <c r="F51" s="76" t="s">
        <v>114</v>
      </c>
      <c r="G51" s="77"/>
      <c r="H51" s="78"/>
      <c r="I51" s="65" t="s">
        <v>17</v>
      </c>
      <c r="J51" s="65"/>
      <c r="K51" s="65" t="s">
        <v>18</v>
      </c>
      <c r="L51" s="65"/>
      <c r="M51" s="82" t="s">
        <v>2</v>
      </c>
      <c r="N51" s="61" t="s">
        <v>19</v>
      </c>
      <c r="O51" s="73"/>
      <c r="P51" s="73"/>
      <c r="Q51" s="73"/>
      <c r="R51" s="73"/>
      <c r="S51" s="74"/>
    </row>
    <row r="52" spans="1:19" ht="24" customHeight="1" x14ac:dyDescent="0.35">
      <c r="A52" s="93"/>
      <c r="B52" s="94"/>
      <c r="C52" s="22"/>
      <c r="F52" s="79" t="s">
        <v>175</v>
      </c>
      <c r="G52" s="80"/>
      <c r="H52" s="81"/>
      <c r="I52" s="52" t="s">
        <v>115</v>
      </c>
      <c r="J52" s="52"/>
      <c r="K52" s="52"/>
      <c r="L52" s="52"/>
      <c r="M52" s="83"/>
      <c r="N52" s="52" t="s">
        <v>39</v>
      </c>
      <c r="O52" s="52"/>
      <c r="P52" s="52" t="s">
        <v>40</v>
      </c>
      <c r="Q52" s="52"/>
      <c r="R52" s="52" t="s">
        <v>41</v>
      </c>
      <c r="S52" s="53"/>
    </row>
    <row r="53" spans="1:19" x14ac:dyDescent="0.35">
      <c r="A53" s="93"/>
      <c r="B53" s="94"/>
      <c r="C53" s="22"/>
      <c r="F53" s="12" t="s">
        <v>77</v>
      </c>
      <c r="G53" s="3" t="s">
        <v>84</v>
      </c>
      <c r="H53" s="3">
        <v>150</v>
      </c>
      <c r="I53" s="52" t="s">
        <v>45</v>
      </c>
      <c r="J53" s="52"/>
      <c r="K53" s="52" t="s">
        <v>47</v>
      </c>
      <c r="L53" s="52"/>
      <c r="M53" s="3" t="s">
        <v>21</v>
      </c>
      <c r="N53" s="84" t="s">
        <v>22</v>
      </c>
      <c r="O53" s="92"/>
      <c r="P53" s="84" t="s">
        <v>23</v>
      </c>
      <c r="Q53" s="92"/>
      <c r="R53" s="84" t="s">
        <v>24</v>
      </c>
      <c r="S53" s="85"/>
    </row>
    <row r="54" spans="1:19" x14ac:dyDescent="0.35">
      <c r="A54" s="93"/>
      <c r="B54" s="94"/>
      <c r="C54" s="22"/>
      <c r="F54" s="12">
        <v>150</v>
      </c>
      <c r="G54" s="3" t="s">
        <v>83</v>
      </c>
      <c r="H54" s="3">
        <v>200</v>
      </c>
      <c r="I54" s="52" t="s">
        <v>45</v>
      </c>
      <c r="J54" s="52"/>
      <c r="K54" s="52" t="s">
        <v>48</v>
      </c>
      <c r="L54" s="52"/>
      <c r="M54" s="3" t="s">
        <v>25</v>
      </c>
      <c r="N54" s="97"/>
      <c r="O54" s="71"/>
      <c r="P54" s="97"/>
      <c r="Q54" s="71"/>
      <c r="R54" s="97"/>
      <c r="S54" s="104"/>
    </row>
    <row r="55" spans="1:19" x14ac:dyDescent="0.35">
      <c r="A55" s="93"/>
      <c r="B55" s="94"/>
      <c r="C55" s="22"/>
      <c r="F55" s="12">
        <v>200</v>
      </c>
      <c r="G55" s="3" t="s">
        <v>85</v>
      </c>
      <c r="H55" s="3">
        <v>290</v>
      </c>
      <c r="I55" s="52" t="s">
        <v>45</v>
      </c>
      <c r="J55" s="52"/>
      <c r="K55" s="52" t="s">
        <v>100</v>
      </c>
      <c r="L55" s="52"/>
      <c r="M55" s="3" t="s">
        <v>26</v>
      </c>
      <c r="N55" s="52" t="s">
        <v>23</v>
      </c>
      <c r="O55" s="52"/>
      <c r="P55" s="52" t="s">
        <v>63</v>
      </c>
      <c r="Q55" s="52"/>
      <c r="R55" s="52" t="s">
        <v>64</v>
      </c>
      <c r="S55" s="53"/>
    </row>
    <row r="56" spans="1:19" x14ac:dyDescent="0.35">
      <c r="A56" s="93"/>
      <c r="B56" s="94"/>
      <c r="C56" s="22"/>
      <c r="F56" s="12">
        <v>290</v>
      </c>
      <c r="G56" s="3" t="s">
        <v>86</v>
      </c>
      <c r="H56" s="3">
        <v>420</v>
      </c>
      <c r="I56" s="52" t="s">
        <v>46</v>
      </c>
      <c r="J56" s="52"/>
      <c r="K56" s="52" t="s">
        <v>50</v>
      </c>
      <c r="L56" s="52"/>
      <c r="M56" s="3" t="s">
        <v>27</v>
      </c>
      <c r="N56" s="84" t="s">
        <v>24</v>
      </c>
      <c r="O56" s="92"/>
      <c r="P56" s="84" t="s">
        <v>62</v>
      </c>
      <c r="Q56" s="92"/>
      <c r="R56" s="84" t="s">
        <v>65</v>
      </c>
      <c r="S56" s="85"/>
    </row>
    <row r="57" spans="1:19" x14ac:dyDescent="0.35">
      <c r="A57" s="93"/>
      <c r="B57" s="94"/>
      <c r="C57" s="22"/>
      <c r="F57" s="12">
        <v>420</v>
      </c>
      <c r="G57" s="3" t="s">
        <v>87</v>
      </c>
      <c r="H57" s="3">
        <v>640</v>
      </c>
      <c r="I57" s="52" t="s">
        <v>47</v>
      </c>
      <c r="J57" s="52"/>
      <c r="K57" s="52" t="s">
        <v>50</v>
      </c>
      <c r="L57" s="52"/>
      <c r="M57" s="3" t="s">
        <v>28</v>
      </c>
      <c r="N57" s="97"/>
      <c r="O57" s="71"/>
      <c r="P57" s="97"/>
      <c r="Q57" s="71"/>
      <c r="R57" s="97"/>
      <c r="S57" s="104"/>
    </row>
    <row r="58" spans="1:19" x14ac:dyDescent="0.35">
      <c r="A58" s="93"/>
      <c r="B58" s="94"/>
      <c r="C58" s="22"/>
      <c r="F58" s="12">
        <v>640</v>
      </c>
      <c r="G58" s="3" t="s">
        <v>83</v>
      </c>
      <c r="H58" s="3">
        <v>920</v>
      </c>
      <c r="I58" s="52" t="s">
        <v>48</v>
      </c>
      <c r="J58" s="52"/>
      <c r="K58" s="52" t="s">
        <v>98</v>
      </c>
      <c r="L58" s="52"/>
      <c r="M58" s="3" t="s">
        <v>30</v>
      </c>
      <c r="N58" s="107" t="s">
        <v>130</v>
      </c>
      <c r="O58" s="107"/>
      <c r="P58" s="84" t="s">
        <v>61</v>
      </c>
      <c r="Q58" s="92"/>
      <c r="R58" s="84" t="s">
        <v>32</v>
      </c>
      <c r="S58" s="85"/>
    </row>
    <row r="59" spans="1:19" ht="18.600000000000001" thickBot="1" x14ac:dyDescent="0.4">
      <c r="A59" s="69"/>
      <c r="B59" s="71"/>
      <c r="C59" s="22"/>
      <c r="F59" s="14">
        <v>920</v>
      </c>
      <c r="G59" s="15" t="s">
        <v>88</v>
      </c>
      <c r="H59" s="15" t="s">
        <v>77</v>
      </c>
      <c r="I59" s="54" t="s">
        <v>48</v>
      </c>
      <c r="J59" s="54"/>
      <c r="K59" s="54" t="s">
        <v>101</v>
      </c>
      <c r="L59" s="54"/>
      <c r="M59" s="15" t="s">
        <v>31</v>
      </c>
      <c r="N59" s="88" t="s">
        <v>131</v>
      </c>
      <c r="O59" s="88"/>
      <c r="P59" s="86"/>
      <c r="Q59" s="111"/>
      <c r="R59" s="86"/>
      <c r="S59" s="87"/>
    </row>
    <row r="60" spans="1:19" ht="18.600000000000001" thickBot="1" x14ac:dyDescent="0.4">
      <c r="A60" s="90" t="s">
        <v>92</v>
      </c>
      <c r="B60" s="54"/>
      <c r="C60" s="16">
        <f>SUM(C25:C59)</f>
        <v>800</v>
      </c>
      <c r="F60" s="75"/>
      <c r="G60" s="75"/>
      <c r="H60" s="75"/>
      <c r="I60" s="75"/>
      <c r="J60" s="75"/>
      <c r="K60" s="75"/>
      <c r="L60" s="75"/>
    </row>
    <row r="61" spans="1:19" ht="19.5" customHeight="1" x14ac:dyDescent="0.35"/>
    <row r="62" spans="1:19" ht="18.600000000000001" thickBot="1" x14ac:dyDescent="0.4">
      <c r="F62" s="89" t="s">
        <v>33</v>
      </c>
      <c r="G62" s="89"/>
      <c r="H62" s="89"/>
    </row>
    <row r="63" spans="1:19" x14ac:dyDescent="0.35">
      <c r="F63" s="64" t="s">
        <v>34</v>
      </c>
      <c r="G63" s="65"/>
      <c r="H63" s="65"/>
      <c r="I63" s="65" t="s">
        <v>17</v>
      </c>
      <c r="J63" s="65"/>
      <c r="K63" s="65" t="s">
        <v>18</v>
      </c>
      <c r="L63" s="65"/>
      <c r="M63" s="82" t="s">
        <v>2</v>
      </c>
      <c r="N63" s="65" t="s">
        <v>57</v>
      </c>
      <c r="O63" s="65"/>
      <c r="P63" s="112"/>
      <c r="Q63" s="2"/>
      <c r="R63" s="2"/>
    </row>
    <row r="64" spans="1:19" ht="19.5" customHeight="1" x14ac:dyDescent="0.35">
      <c r="F64" s="96"/>
      <c r="G64" s="52"/>
      <c r="H64" s="52"/>
      <c r="I64" s="52" t="s">
        <v>117</v>
      </c>
      <c r="J64" s="52"/>
      <c r="K64" s="52"/>
      <c r="L64" s="52"/>
      <c r="M64" s="83"/>
      <c r="N64" s="4" t="s">
        <v>43</v>
      </c>
      <c r="O64" s="3" t="s">
        <v>44</v>
      </c>
      <c r="P64" s="13" t="s">
        <v>55</v>
      </c>
      <c r="Q64" s="5"/>
    </row>
    <row r="65" spans="6:18" ht="19.5" customHeight="1" x14ac:dyDescent="0.35">
      <c r="F65" s="96" t="s">
        <v>35</v>
      </c>
      <c r="G65" s="52"/>
      <c r="H65" s="52"/>
      <c r="I65" s="52" t="s">
        <v>53</v>
      </c>
      <c r="J65" s="52"/>
      <c r="K65" s="52" t="s">
        <v>46</v>
      </c>
      <c r="L65" s="52"/>
      <c r="M65" s="3" t="s">
        <v>36</v>
      </c>
      <c r="N65" s="3" t="s">
        <v>56</v>
      </c>
      <c r="O65" s="3" t="s">
        <v>70</v>
      </c>
      <c r="P65" s="13" t="s">
        <v>60</v>
      </c>
      <c r="Q65" s="9"/>
    </row>
    <row r="66" spans="6:18" x14ac:dyDescent="0.35">
      <c r="F66" s="96" t="s">
        <v>103</v>
      </c>
      <c r="G66" s="52"/>
      <c r="H66" s="52"/>
      <c r="I66" s="52" t="s">
        <v>45</v>
      </c>
      <c r="J66" s="52"/>
      <c r="K66" s="52" t="s">
        <v>47</v>
      </c>
      <c r="L66" s="52"/>
      <c r="M66" s="3" t="s">
        <v>21</v>
      </c>
      <c r="N66" s="3" t="s">
        <v>37</v>
      </c>
      <c r="O66" s="3" t="s">
        <v>71</v>
      </c>
      <c r="P66" s="13" t="s">
        <v>60</v>
      </c>
      <c r="Q66" s="9"/>
    </row>
    <row r="67" spans="6:18" x14ac:dyDescent="0.35">
      <c r="F67" s="96">
        <v>200</v>
      </c>
      <c r="G67" s="52"/>
      <c r="H67" s="52"/>
      <c r="I67" s="52" t="s">
        <v>54</v>
      </c>
      <c r="J67" s="52"/>
      <c r="K67" s="52" t="s">
        <v>48</v>
      </c>
      <c r="L67" s="52"/>
      <c r="M67" s="3" t="s">
        <v>25</v>
      </c>
      <c r="N67" s="3" t="s">
        <v>37</v>
      </c>
      <c r="O67" s="3" t="s">
        <v>71</v>
      </c>
      <c r="P67" s="13" t="s">
        <v>60</v>
      </c>
      <c r="Q67" s="9"/>
    </row>
    <row r="68" spans="6:18" ht="18.600000000000001" thickBot="1" x14ac:dyDescent="0.4">
      <c r="F68" s="90">
        <v>250</v>
      </c>
      <c r="G68" s="54"/>
      <c r="H68" s="54"/>
      <c r="I68" s="54" t="s">
        <v>45</v>
      </c>
      <c r="J68" s="54"/>
      <c r="K68" s="54" t="s">
        <v>49</v>
      </c>
      <c r="L68" s="54"/>
      <c r="M68" s="15" t="s">
        <v>26</v>
      </c>
      <c r="N68" s="15" t="s">
        <v>59</v>
      </c>
      <c r="O68" s="15" t="s">
        <v>72</v>
      </c>
      <c r="P68" s="17" t="s">
        <v>73</v>
      </c>
      <c r="Q68" s="9"/>
    </row>
    <row r="72" spans="6:18" ht="18.600000000000001" thickBot="1" x14ac:dyDescent="0.4">
      <c r="F72" s="10" t="s">
        <v>110</v>
      </c>
    </row>
    <row r="73" spans="6:18" x14ac:dyDescent="0.35">
      <c r="F73" s="66" t="s">
        <v>111</v>
      </c>
      <c r="G73" s="67"/>
      <c r="H73" s="68"/>
      <c r="I73" s="61" t="s">
        <v>113</v>
      </c>
      <c r="J73" s="62"/>
      <c r="K73" s="65" t="s">
        <v>112</v>
      </c>
      <c r="L73" s="65"/>
      <c r="M73" s="73" t="s">
        <v>38</v>
      </c>
      <c r="N73" s="73"/>
      <c r="O73" s="73"/>
      <c r="P73" s="73"/>
      <c r="Q73" s="73"/>
      <c r="R73" s="74"/>
    </row>
    <row r="74" spans="6:18" ht="21" customHeight="1" x14ac:dyDescent="0.35">
      <c r="F74" s="69"/>
      <c r="G74" s="70"/>
      <c r="H74" s="71"/>
      <c r="I74" s="58" t="s">
        <v>117</v>
      </c>
      <c r="J74" s="72"/>
      <c r="K74" s="72"/>
      <c r="L74" s="57"/>
      <c r="M74" s="57" t="s">
        <v>39</v>
      </c>
      <c r="N74" s="52"/>
      <c r="O74" s="52" t="s">
        <v>40</v>
      </c>
      <c r="P74" s="52"/>
      <c r="Q74" s="52" t="s">
        <v>41</v>
      </c>
      <c r="R74" s="53"/>
    </row>
    <row r="75" spans="6:18" ht="21" customHeight="1" x14ac:dyDescent="0.35">
      <c r="F75" s="12" t="s">
        <v>77</v>
      </c>
      <c r="G75" s="3" t="s">
        <v>89</v>
      </c>
      <c r="H75" s="3">
        <v>8</v>
      </c>
      <c r="I75" s="58" t="s">
        <v>120</v>
      </c>
      <c r="J75" s="57"/>
      <c r="K75" s="58" t="s">
        <v>118</v>
      </c>
      <c r="L75" s="57"/>
      <c r="M75" s="57" t="s">
        <v>23</v>
      </c>
      <c r="N75" s="52"/>
      <c r="O75" s="52" t="s">
        <v>67</v>
      </c>
      <c r="P75" s="52"/>
      <c r="Q75" s="52" t="s">
        <v>68</v>
      </c>
      <c r="R75" s="53"/>
    </row>
    <row r="76" spans="6:18" ht="21" customHeight="1" x14ac:dyDescent="0.35">
      <c r="F76" s="12" t="s">
        <v>77</v>
      </c>
      <c r="G76" s="3" t="s">
        <v>89</v>
      </c>
      <c r="H76" s="3">
        <v>10</v>
      </c>
      <c r="I76" s="58" t="s">
        <v>121</v>
      </c>
      <c r="J76" s="57"/>
      <c r="K76" s="58" t="s">
        <v>122</v>
      </c>
      <c r="L76" s="57"/>
      <c r="M76" s="57" t="s">
        <v>24</v>
      </c>
      <c r="N76" s="52"/>
      <c r="O76" s="52" t="s">
        <v>106</v>
      </c>
      <c r="P76" s="52"/>
      <c r="Q76" s="52" t="s">
        <v>107</v>
      </c>
      <c r="R76" s="53"/>
    </row>
    <row r="77" spans="6:18" ht="21" customHeight="1" x14ac:dyDescent="0.35">
      <c r="F77" s="12">
        <v>12</v>
      </c>
      <c r="G77" s="3" t="s">
        <v>82</v>
      </c>
      <c r="H77" s="3">
        <v>14</v>
      </c>
      <c r="I77" s="58" t="s">
        <v>123</v>
      </c>
      <c r="J77" s="57"/>
      <c r="K77" s="58" t="s">
        <v>124</v>
      </c>
      <c r="L77" s="57"/>
      <c r="M77" s="57" t="s">
        <v>24</v>
      </c>
      <c r="N77" s="52"/>
      <c r="O77" s="52" t="s">
        <v>106</v>
      </c>
      <c r="P77" s="52"/>
      <c r="Q77" s="52" t="s">
        <v>107</v>
      </c>
      <c r="R77" s="53"/>
    </row>
    <row r="78" spans="6:18" ht="21" customHeight="1" x14ac:dyDescent="0.35">
      <c r="F78" s="12" t="s">
        <v>77</v>
      </c>
      <c r="G78" s="3" t="s">
        <v>89</v>
      </c>
      <c r="H78" s="3">
        <v>16</v>
      </c>
      <c r="I78" s="58" t="s">
        <v>123</v>
      </c>
      <c r="J78" s="57"/>
      <c r="K78" s="58" t="s">
        <v>126</v>
      </c>
      <c r="L78" s="57"/>
      <c r="M78" s="57" t="s">
        <v>24</v>
      </c>
      <c r="N78" s="52"/>
      <c r="O78" s="52" t="s">
        <v>106</v>
      </c>
      <c r="P78" s="52"/>
      <c r="Q78" s="52" t="s">
        <v>107</v>
      </c>
      <c r="R78" s="53"/>
    </row>
    <row r="79" spans="6:18" ht="21" customHeight="1" x14ac:dyDescent="0.35">
      <c r="F79" s="12">
        <v>18</v>
      </c>
      <c r="G79" s="3" t="s">
        <v>82</v>
      </c>
      <c r="H79" s="3">
        <v>22</v>
      </c>
      <c r="I79" s="58" t="s">
        <v>127</v>
      </c>
      <c r="J79" s="57"/>
      <c r="K79" s="58" t="s">
        <v>125</v>
      </c>
      <c r="L79" s="57"/>
      <c r="M79" s="57" t="s">
        <v>130</v>
      </c>
      <c r="N79" s="52"/>
      <c r="O79" s="52" t="s">
        <v>61</v>
      </c>
      <c r="P79" s="52"/>
      <c r="Q79" s="52" t="s">
        <v>32</v>
      </c>
      <c r="R79" s="53"/>
    </row>
    <row r="80" spans="6:18" ht="21" customHeight="1" x14ac:dyDescent="0.35">
      <c r="F80" s="12" t="s">
        <v>77</v>
      </c>
      <c r="G80" s="3" t="s">
        <v>89</v>
      </c>
      <c r="H80" s="3">
        <v>24</v>
      </c>
      <c r="I80" s="58" t="s">
        <v>127</v>
      </c>
      <c r="J80" s="57"/>
      <c r="K80" s="58" t="s">
        <v>128</v>
      </c>
      <c r="L80" s="57"/>
      <c r="M80" s="57" t="s">
        <v>130</v>
      </c>
      <c r="N80" s="52"/>
      <c r="O80" s="52" t="s">
        <v>61</v>
      </c>
      <c r="P80" s="52"/>
      <c r="Q80" s="52" t="s">
        <v>32</v>
      </c>
      <c r="R80" s="53"/>
    </row>
    <row r="81" spans="6:18" ht="21" customHeight="1" x14ac:dyDescent="0.35">
      <c r="F81" s="12">
        <v>26</v>
      </c>
      <c r="G81" s="3" t="s">
        <v>82</v>
      </c>
      <c r="H81" s="3">
        <v>34</v>
      </c>
      <c r="I81" s="58" t="s">
        <v>118</v>
      </c>
      <c r="J81" s="57"/>
      <c r="K81" s="58" t="s">
        <v>149</v>
      </c>
      <c r="L81" s="57"/>
      <c r="M81" s="57" t="s">
        <v>130</v>
      </c>
      <c r="N81" s="52"/>
      <c r="O81" s="52" t="s">
        <v>61</v>
      </c>
      <c r="P81" s="52"/>
      <c r="Q81" s="52" t="s">
        <v>32</v>
      </c>
      <c r="R81" s="53"/>
    </row>
    <row r="82" spans="6:18" ht="21" customHeight="1" thickBot="1" x14ac:dyDescent="0.4">
      <c r="F82" s="14">
        <v>36</v>
      </c>
      <c r="G82" s="15" t="s">
        <v>82</v>
      </c>
      <c r="H82" s="15">
        <v>60</v>
      </c>
      <c r="I82" s="59" t="s">
        <v>118</v>
      </c>
      <c r="J82" s="60"/>
      <c r="K82" s="59" t="s">
        <v>129</v>
      </c>
      <c r="L82" s="60"/>
      <c r="M82" s="54" t="s">
        <v>132</v>
      </c>
      <c r="N82" s="54"/>
      <c r="O82" s="54" t="s">
        <v>133</v>
      </c>
      <c r="P82" s="54"/>
      <c r="Q82" s="54" t="s">
        <v>134</v>
      </c>
      <c r="R82" s="55"/>
    </row>
    <row r="83" spans="6:18" ht="21" customHeight="1" x14ac:dyDescent="0.35"/>
  </sheetData>
  <mergeCells count="172">
    <mergeCell ref="A1:O20"/>
    <mergeCell ref="P1:S3"/>
    <mergeCell ref="P4:S6"/>
    <mergeCell ref="F67:H67"/>
    <mergeCell ref="I67:J67"/>
    <mergeCell ref="K67:L67"/>
    <mergeCell ref="I58:J58"/>
    <mergeCell ref="K58:L58"/>
    <mergeCell ref="N58:O58"/>
    <mergeCell ref="P58:Q59"/>
    <mergeCell ref="F63:H64"/>
    <mergeCell ref="I63:J63"/>
    <mergeCell ref="K63:L63"/>
    <mergeCell ref="M63:M64"/>
    <mergeCell ref="N63:P63"/>
    <mergeCell ref="I64:L64"/>
    <mergeCell ref="K56:L56"/>
    <mergeCell ref="N56:O57"/>
    <mergeCell ref="P56:Q57"/>
    <mergeCell ref="R56:S57"/>
    <mergeCell ref="I53:J53"/>
    <mergeCell ref="K53:L53"/>
    <mergeCell ref="N53:O54"/>
    <mergeCell ref="P53:Q54"/>
    <mergeCell ref="F68:H68"/>
    <mergeCell ref="I68:J68"/>
    <mergeCell ref="K68:L68"/>
    <mergeCell ref="F65:H65"/>
    <mergeCell ref="I65:J65"/>
    <mergeCell ref="K65:L65"/>
    <mergeCell ref="F66:H66"/>
    <mergeCell ref="I66:J66"/>
    <mergeCell ref="K66:L66"/>
    <mergeCell ref="R53:S54"/>
    <mergeCell ref="I54:J54"/>
    <mergeCell ref="K54:L54"/>
    <mergeCell ref="I57:J57"/>
    <mergeCell ref="K57:L57"/>
    <mergeCell ref="I55:J55"/>
    <mergeCell ref="K55:L55"/>
    <mergeCell ref="R41:S41"/>
    <mergeCell ref="I42:J42"/>
    <mergeCell ref="K42:L42"/>
    <mergeCell ref="N42:O43"/>
    <mergeCell ref="P42:Q43"/>
    <mergeCell ref="R42:S43"/>
    <mergeCell ref="R44:S46"/>
    <mergeCell ref="I45:J45"/>
    <mergeCell ref="K45:L45"/>
    <mergeCell ref="I46:J46"/>
    <mergeCell ref="K46:L46"/>
    <mergeCell ref="N46:O46"/>
    <mergeCell ref="I43:J43"/>
    <mergeCell ref="K43:L43"/>
    <mergeCell ref="I44:J44"/>
    <mergeCell ref="K44:L44"/>
    <mergeCell ref="N44:O45"/>
    <mergeCell ref="P44:Q46"/>
    <mergeCell ref="I40:J40"/>
    <mergeCell ref="K40:L40"/>
    <mergeCell ref="F37:I37"/>
    <mergeCell ref="F38:H39"/>
    <mergeCell ref="I38:J38"/>
    <mergeCell ref="K38:L38"/>
    <mergeCell ref="M38:M39"/>
    <mergeCell ref="N38:S38"/>
    <mergeCell ref="I39:L39"/>
    <mergeCell ref="N39:O39"/>
    <mergeCell ref="P39:Q39"/>
    <mergeCell ref="R39:S39"/>
    <mergeCell ref="N40:O40"/>
    <mergeCell ref="P40:Q40"/>
    <mergeCell ref="R40:S40"/>
    <mergeCell ref="I33:K33"/>
    <mergeCell ref="I34:K34"/>
    <mergeCell ref="I35:K35"/>
    <mergeCell ref="I26:K26"/>
    <mergeCell ref="N26:O26"/>
    <mergeCell ref="P26:Q26"/>
    <mergeCell ref="I27:K27"/>
    <mergeCell ref="I28:K28"/>
    <mergeCell ref="F30:I30"/>
    <mergeCell ref="R52:S52"/>
    <mergeCell ref="A24:B24"/>
    <mergeCell ref="A60:B60"/>
    <mergeCell ref="A25:B59"/>
    <mergeCell ref="F24:H24"/>
    <mergeCell ref="I24:K24"/>
    <mergeCell ref="N24:O24"/>
    <mergeCell ref="P24:Q24"/>
    <mergeCell ref="I25:K25"/>
    <mergeCell ref="N25:O25"/>
    <mergeCell ref="P25:Q25"/>
    <mergeCell ref="I41:J41"/>
    <mergeCell ref="K41:L41"/>
    <mergeCell ref="N41:O41"/>
    <mergeCell ref="P41:Q41"/>
    <mergeCell ref="F50:I50"/>
    <mergeCell ref="I51:J51"/>
    <mergeCell ref="K51:L51"/>
    <mergeCell ref="I31:K31"/>
    <mergeCell ref="I32:K32"/>
    <mergeCell ref="M81:N81"/>
    <mergeCell ref="F23:I23"/>
    <mergeCell ref="F31:H31"/>
    <mergeCell ref="F73:H74"/>
    <mergeCell ref="I74:L74"/>
    <mergeCell ref="M73:R73"/>
    <mergeCell ref="M77:N77"/>
    <mergeCell ref="F47:S47"/>
    <mergeCell ref="K73:L73"/>
    <mergeCell ref="F51:H51"/>
    <mergeCell ref="F52:H52"/>
    <mergeCell ref="N51:S51"/>
    <mergeCell ref="N55:O55"/>
    <mergeCell ref="P55:Q55"/>
    <mergeCell ref="M51:M52"/>
    <mergeCell ref="I52:L52"/>
    <mergeCell ref="N52:O52"/>
    <mergeCell ref="P52:Q52"/>
    <mergeCell ref="R58:S59"/>
    <mergeCell ref="I59:J59"/>
    <mergeCell ref="K59:L59"/>
    <mergeCell ref="N59:O59"/>
    <mergeCell ref="F60:L60"/>
    <mergeCell ref="F62:H62"/>
    <mergeCell ref="Q75:R75"/>
    <mergeCell ref="M76:N76"/>
    <mergeCell ref="O76:P76"/>
    <mergeCell ref="Q76:R76"/>
    <mergeCell ref="I73:J73"/>
    <mergeCell ref="I75:J75"/>
    <mergeCell ref="I76:J76"/>
    <mergeCell ref="I77:J77"/>
    <mergeCell ref="I78:J78"/>
    <mergeCell ref="I56:J56"/>
    <mergeCell ref="I79:J79"/>
    <mergeCell ref="I80:J80"/>
    <mergeCell ref="I81:J81"/>
    <mergeCell ref="I82:J82"/>
    <mergeCell ref="K75:L75"/>
    <mergeCell ref="K76:L76"/>
    <mergeCell ref="K77:L77"/>
    <mergeCell ref="K78:L78"/>
    <mergeCell ref="K79:L79"/>
    <mergeCell ref="K80:L80"/>
    <mergeCell ref="K81:L81"/>
    <mergeCell ref="K82:L82"/>
    <mergeCell ref="O81:P81"/>
    <mergeCell ref="Q81:R81"/>
    <mergeCell ref="M82:N82"/>
    <mergeCell ref="O82:P82"/>
    <mergeCell ref="Q82:R82"/>
    <mergeCell ref="A21:B21"/>
    <mergeCell ref="A22:B22"/>
    <mergeCell ref="O77:P77"/>
    <mergeCell ref="Q77:R77"/>
    <mergeCell ref="M78:N78"/>
    <mergeCell ref="O78:P78"/>
    <mergeCell ref="Q78:R78"/>
    <mergeCell ref="M79:N79"/>
    <mergeCell ref="O79:P79"/>
    <mergeCell ref="Q79:R79"/>
    <mergeCell ref="M80:N80"/>
    <mergeCell ref="O80:P80"/>
    <mergeCell ref="Q80:R80"/>
    <mergeCell ref="M74:N74"/>
    <mergeCell ref="O74:P74"/>
    <mergeCell ref="Q74:R74"/>
    <mergeCell ref="M75:N75"/>
    <mergeCell ref="O75:P75"/>
    <mergeCell ref="R55:S55"/>
  </mergeCells>
  <phoneticPr fontId="1" type="noConversion"/>
  <conditionalFormatting sqref="I25:L25">
    <cfRule type="expression" dxfId="56" priority="79">
      <formula>$C$24=$H$25</formula>
    </cfRule>
  </conditionalFormatting>
  <conditionalFormatting sqref="I26:L26">
    <cfRule type="expression" dxfId="55" priority="77">
      <formula>AND($C$24&gt;=$F$26,$C$24&lt;=$H$26)</formula>
    </cfRule>
  </conditionalFormatting>
  <conditionalFormatting sqref="I27:L27">
    <cfRule type="expression" dxfId="54" priority="75">
      <formula>AND($C$24&gt;=$F$27,$C$24&lt;=$H$27)</formula>
    </cfRule>
  </conditionalFormatting>
  <conditionalFormatting sqref="I28:L28">
    <cfRule type="expression" dxfId="53" priority="73">
      <formula>$C$24&gt;=$F$28</formula>
    </cfRule>
  </conditionalFormatting>
  <conditionalFormatting sqref="I32:L32">
    <cfRule type="expression" dxfId="52" priority="124">
      <formula>$C$60&lt;$H$32</formula>
    </cfRule>
  </conditionalFormatting>
  <conditionalFormatting sqref="I33:L33">
    <cfRule type="expression" dxfId="51" priority="125">
      <formula>AND($C$60&gt;=$F$33,$C$60&lt;$H$33)</formula>
    </cfRule>
  </conditionalFormatting>
  <conditionalFormatting sqref="I34:L34">
    <cfRule type="expression" dxfId="50" priority="126">
      <formula>AND($C$60&gt;=$F$34,$C$60&lt;$H$34)</formula>
    </cfRule>
  </conditionalFormatting>
  <conditionalFormatting sqref="I35:L35">
    <cfRule type="expression" dxfId="49" priority="127">
      <formula>$C$60&gt;=$F$35</formula>
    </cfRule>
  </conditionalFormatting>
  <conditionalFormatting sqref="I53:L53">
    <cfRule type="expression" dxfId="48" priority="128">
      <formula>AND($C$60&lt;$H$53)</formula>
    </cfRule>
  </conditionalFormatting>
  <conditionalFormatting sqref="I75:L75">
    <cfRule type="expression" dxfId="47" priority="24">
      <formula>$H$75=$C$24</formula>
    </cfRule>
  </conditionalFormatting>
  <conditionalFormatting sqref="I76:L76">
    <cfRule type="expression" dxfId="46" priority="22">
      <formula>$C$24=$H$76</formula>
    </cfRule>
  </conditionalFormatting>
  <conditionalFormatting sqref="I77:L77">
    <cfRule type="expression" dxfId="45" priority="19">
      <formula>AND($C$24&gt;=$F$77,$C$24&lt;=$H$77)</formula>
    </cfRule>
  </conditionalFormatting>
  <conditionalFormatting sqref="I78:L78">
    <cfRule type="expression" dxfId="44" priority="11">
      <formula>$C$24=$H$78</formula>
    </cfRule>
  </conditionalFormatting>
  <conditionalFormatting sqref="I79:L79">
    <cfRule type="expression" dxfId="43" priority="13">
      <formula>AND($C$24&gt;=$F$79,$C$24&lt;=$H$79)</formula>
    </cfRule>
  </conditionalFormatting>
  <conditionalFormatting sqref="I80:L80">
    <cfRule type="expression" dxfId="42" priority="9">
      <formula>$C$24=$H$80</formula>
    </cfRule>
  </conditionalFormatting>
  <conditionalFormatting sqref="I81:L81">
    <cfRule type="expression" dxfId="41" priority="7">
      <formula>AND($C$24&gt;=$F$81,$C$24&lt;=$H$81)</formula>
    </cfRule>
  </conditionalFormatting>
  <conditionalFormatting sqref="I82:L82">
    <cfRule type="expression" dxfId="40" priority="5">
      <formula>AND($C$24&gt;=$F$82,$C$24&lt;=$H$82)</formula>
    </cfRule>
  </conditionalFormatting>
  <conditionalFormatting sqref="I40:M40">
    <cfRule type="expression" dxfId="39" priority="61">
      <formula>$C$24=$H$40</formula>
    </cfRule>
  </conditionalFormatting>
  <conditionalFormatting sqref="I41:M41">
    <cfRule type="expression" dxfId="38" priority="58">
      <formula>$C$24=$H$41</formula>
    </cfRule>
  </conditionalFormatting>
  <conditionalFormatting sqref="I42:M42">
    <cfRule type="expression" dxfId="37" priority="55">
      <formula>AND($C$24&gt;=$F$42,$C$24&lt;=$H$42)</formula>
    </cfRule>
  </conditionalFormatting>
  <conditionalFormatting sqref="I43:M43">
    <cfRule type="expression" dxfId="36" priority="52">
      <formula>AND($C$24&gt;=$F$43,$C$24&lt;=$H$43)</formula>
    </cfRule>
  </conditionalFormatting>
  <conditionalFormatting sqref="I44:M44">
    <cfRule type="expression" dxfId="35" priority="49">
      <formula>$C$24=$H$44</formula>
    </cfRule>
  </conditionalFormatting>
  <conditionalFormatting sqref="I45:M45">
    <cfRule type="expression" dxfId="34" priority="46">
      <formula>AND($C$24&gt;=$F$45,$C$24&lt;=$H$45)</formula>
    </cfRule>
  </conditionalFormatting>
  <conditionalFormatting sqref="I46:M46">
    <cfRule type="expression" dxfId="33" priority="42">
      <formula>AND($C$24&gt;=$F$46,$C$24&lt;=$H$46)</formula>
    </cfRule>
  </conditionalFormatting>
  <conditionalFormatting sqref="I54:M54">
    <cfRule type="expression" dxfId="32" priority="130">
      <formula>AND($C$60&gt;=$F$54,$C$60&lt;$H$54)</formula>
    </cfRule>
  </conditionalFormatting>
  <conditionalFormatting sqref="I55:M55">
    <cfRule type="expression" dxfId="31" priority="131">
      <formula>AND($C$60&gt;=$F$55,$C$60&lt;$H$55)</formula>
    </cfRule>
  </conditionalFormatting>
  <conditionalFormatting sqref="I56:M56">
    <cfRule type="expression" dxfId="30" priority="132">
      <formula>AND($C$60&gt;=$F$56,$C$60&lt;$H$56)</formula>
    </cfRule>
  </conditionalFormatting>
  <conditionalFormatting sqref="I57:M57">
    <cfRule type="expression" dxfId="29" priority="133">
      <formula>AND($C$60&gt;=$F$57,$C$60&lt;$H$57)</formula>
    </cfRule>
  </conditionalFormatting>
  <conditionalFormatting sqref="I58:M58">
    <cfRule type="expression" dxfId="28" priority="134">
      <formula>AND($C$60&gt;=$F$58,$C$60&lt;$H$58)</formula>
    </cfRule>
  </conditionalFormatting>
  <conditionalFormatting sqref="I59:M59">
    <cfRule type="expression" dxfId="27" priority="135">
      <formula>$C$60&gt;=$F$59</formula>
    </cfRule>
  </conditionalFormatting>
  <conditionalFormatting sqref="M53">
    <cfRule type="expression" dxfId="26" priority="129">
      <formula>$C$60&lt;$H$53</formula>
    </cfRule>
  </conditionalFormatting>
  <conditionalFormatting sqref="P25:R25">
    <cfRule type="expression" dxfId="25" priority="3">
      <formula>$N$25=$C$22</formula>
    </cfRule>
  </conditionalFormatting>
  <conditionalFormatting sqref="P26:R26">
    <cfRule type="expression" dxfId="24" priority="1">
      <formula>$N$26=$C$22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8" orientation="portrait" r:id="rId1"/>
  <headerFooter alignWithMargins="0"/>
  <ignoredErrors>
    <ignoredError sqref="C60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2">
    <tabColor theme="3"/>
    <pageSetUpPr fitToPage="1"/>
  </sheetPr>
  <dimension ref="A1:Y80"/>
  <sheetViews>
    <sheetView showGridLines="0" view="pageBreakPreview" zoomScale="25" zoomScaleNormal="100" zoomScaleSheetLayoutView="25" workbookViewId="0">
      <selection activeCell="R18" sqref="R18"/>
    </sheetView>
  </sheetViews>
  <sheetFormatPr defaultColWidth="9" defaultRowHeight="18" x14ac:dyDescent="0.35"/>
  <cols>
    <col min="1" max="2" width="14.109375" style="1" customWidth="1"/>
    <col min="3" max="3" width="7.88671875" style="1" bestFit="1" customWidth="1"/>
    <col min="4" max="4" width="21.44140625" style="1" bestFit="1" customWidth="1"/>
    <col min="5" max="6" width="9" style="1"/>
    <col min="7" max="7" width="11.21875" style="1" bestFit="1" customWidth="1"/>
    <col min="8" max="8" width="6" style="1" bestFit="1" customWidth="1"/>
    <col min="9" max="10" width="12.33203125" style="1" customWidth="1"/>
    <col min="11" max="11" width="9" style="1"/>
    <col min="12" max="12" width="8.6640625" style="1" customWidth="1"/>
    <col min="13" max="15" width="15.21875" style="1" bestFit="1" customWidth="1"/>
    <col min="16" max="16" width="21.44140625" style="1" bestFit="1" customWidth="1"/>
    <col min="17" max="19" width="13.44140625" style="1" customWidth="1"/>
    <col min="20" max="20" width="19.21875" style="1" bestFit="1" customWidth="1"/>
    <col min="21" max="21" width="15.33203125" style="1" customWidth="1"/>
    <col min="22" max="22" width="14.44140625" style="1" bestFit="1" customWidth="1"/>
    <col min="23" max="23" width="16.109375" style="1" bestFit="1" customWidth="1"/>
    <col min="24" max="16384" width="9" style="1"/>
  </cols>
  <sheetData>
    <row r="1" spans="1:19" x14ac:dyDescent="0.35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117" t="s">
        <v>180</v>
      </c>
      <c r="Q1" s="117"/>
      <c r="R1" s="117"/>
      <c r="S1" s="117"/>
    </row>
    <row r="2" spans="1:19" x14ac:dyDescent="0.35">
      <c r="A2" s="56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117"/>
      <c r="Q2" s="117"/>
      <c r="R2" s="117"/>
      <c r="S2" s="117"/>
    </row>
    <row r="3" spans="1:19" x14ac:dyDescent="0.3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117"/>
      <c r="Q3" s="117"/>
      <c r="R3" s="117"/>
      <c r="S3" s="117"/>
    </row>
    <row r="4" spans="1:19" x14ac:dyDescent="0.35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118" t="s">
        <v>182</v>
      </c>
      <c r="Q4" s="118"/>
      <c r="R4" s="118"/>
      <c r="S4" s="118"/>
    </row>
    <row r="5" spans="1:19" x14ac:dyDescent="0.35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118"/>
      <c r="Q5" s="118"/>
      <c r="R5" s="118"/>
      <c r="S5" s="118"/>
    </row>
    <row r="6" spans="1:19" x14ac:dyDescent="0.35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118"/>
      <c r="Q6" s="118"/>
      <c r="R6" s="118"/>
      <c r="S6" s="118"/>
    </row>
    <row r="7" spans="1:19" x14ac:dyDescent="0.35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46"/>
      <c r="Q7" s="46"/>
      <c r="R7" s="46"/>
      <c r="S7" s="46"/>
    </row>
    <row r="8" spans="1:19" x14ac:dyDescent="0.35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46"/>
      <c r="Q8" s="46"/>
      <c r="R8" s="46"/>
      <c r="S8" s="46"/>
    </row>
    <row r="9" spans="1:19" x14ac:dyDescent="0.35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46"/>
      <c r="Q9" s="46"/>
      <c r="R9" s="46"/>
      <c r="S9" s="46"/>
    </row>
    <row r="10" spans="1:19" x14ac:dyDescent="0.35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46"/>
      <c r="Q10" s="46"/>
      <c r="R10" s="46"/>
      <c r="S10" s="46"/>
    </row>
    <row r="11" spans="1:19" x14ac:dyDescent="0.35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46"/>
      <c r="Q11" s="46"/>
      <c r="R11" s="46"/>
      <c r="S11" s="46"/>
    </row>
    <row r="12" spans="1:19" x14ac:dyDescent="0.3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46"/>
      <c r="Q12" s="46"/>
      <c r="R12" s="46"/>
      <c r="S12" s="46"/>
    </row>
    <row r="13" spans="1:19" x14ac:dyDescent="0.35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46"/>
      <c r="Q13" s="46"/>
      <c r="R13" s="46"/>
      <c r="S13" s="46"/>
    </row>
    <row r="14" spans="1:19" x14ac:dyDescent="0.35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46"/>
      <c r="Q14" s="46"/>
      <c r="R14" s="46"/>
      <c r="S14" s="46"/>
    </row>
    <row r="15" spans="1:19" x14ac:dyDescent="0.3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46"/>
      <c r="Q15" s="46"/>
      <c r="R15" s="46"/>
      <c r="S15" s="46"/>
    </row>
    <row r="16" spans="1:19" x14ac:dyDescent="0.35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46"/>
      <c r="Q16" s="46"/>
      <c r="R16" s="46"/>
      <c r="S16" s="46"/>
    </row>
    <row r="17" spans="1:23" x14ac:dyDescent="0.35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46"/>
      <c r="Q17" s="46"/>
      <c r="R17" s="46"/>
      <c r="S17" s="46"/>
    </row>
    <row r="18" spans="1:23" x14ac:dyDescent="0.35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46"/>
      <c r="Q18" s="46"/>
      <c r="R18" s="46"/>
      <c r="S18" s="46"/>
    </row>
    <row r="19" spans="1:23" x14ac:dyDescent="0.35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46"/>
      <c r="Q19" s="46"/>
      <c r="R19" s="46"/>
      <c r="S19" s="46"/>
    </row>
    <row r="20" spans="1:23" x14ac:dyDescent="0.35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7"/>
      <c r="Q20" s="46"/>
      <c r="R20" s="46"/>
      <c r="S20" s="46"/>
    </row>
    <row r="21" spans="1:23" ht="18.600000000000001" thickBot="1" x14ac:dyDescent="0.4">
      <c r="B21" s="1" t="s">
        <v>102</v>
      </c>
      <c r="C21" s="6">
        <f>C56/C24</f>
        <v>0.8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49" t="s">
        <v>183</v>
      </c>
      <c r="Q21" s="8"/>
      <c r="T21" s="7" t="s">
        <v>142</v>
      </c>
      <c r="U21" s="7" t="s">
        <v>141</v>
      </c>
      <c r="V21" s="7" t="s">
        <v>153</v>
      </c>
      <c r="W21" s="7"/>
    </row>
    <row r="22" spans="1:23" x14ac:dyDescent="0.35">
      <c r="F22" s="7"/>
      <c r="G22" s="7"/>
      <c r="H22" s="7"/>
      <c r="I22" s="7"/>
      <c r="J22" s="7"/>
      <c r="K22" s="7"/>
      <c r="L22" s="7"/>
      <c r="M22" s="7"/>
      <c r="N22" s="7"/>
      <c r="O22" s="7"/>
      <c r="P22" s="38" t="str">
        <f>T21</f>
        <v>型號</v>
      </c>
      <c r="Q22" s="39" t="str">
        <f>U21</f>
        <v>能力指數</v>
      </c>
      <c r="T22" s="35" t="s">
        <v>157</v>
      </c>
      <c r="U22" s="7">
        <v>100</v>
      </c>
      <c r="V22" s="7" t="s">
        <v>154</v>
      </c>
      <c r="W22" s="7"/>
    </row>
    <row r="23" spans="1:23" ht="18.600000000000001" thickBot="1" x14ac:dyDescent="0.4">
      <c r="F23" s="63" t="s">
        <v>94</v>
      </c>
      <c r="G23" s="63"/>
      <c r="H23" s="63"/>
      <c r="I23" s="63"/>
      <c r="M23" s="2"/>
      <c r="N23" s="2"/>
      <c r="O23" s="2"/>
      <c r="P23" s="47" t="str">
        <f>T22</f>
        <v>RSUYQ112AVT</v>
      </c>
      <c r="Q23" s="40">
        <f>U22</f>
        <v>100</v>
      </c>
      <c r="T23" s="35" t="s">
        <v>158</v>
      </c>
      <c r="U23" s="7">
        <v>112.5</v>
      </c>
      <c r="V23" s="7" t="s">
        <v>154</v>
      </c>
      <c r="W23" s="7"/>
    </row>
    <row r="24" spans="1:23" ht="18.600000000000001" thickBot="1" x14ac:dyDescent="0.4">
      <c r="A24" s="52" t="s">
        <v>147</v>
      </c>
      <c r="B24" s="52"/>
      <c r="C24" s="50">
        <f>VLOOKUP(D24,T22:U34,2,0)</f>
        <v>100</v>
      </c>
      <c r="D24" s="51" t="s">
        <v>188</v>
      </c>
      <c r="F24" s="95" t="s">
        <v>185</v>
      </c>
      <c r="G24" s="73"/>
      <c r="H24" s="62"/>
      <c r="I24" s="65" t="s">
        <v>1</v>
      </c>
      <c r="J24" s="65"/>
      <c r="K24" s="65"/>
      <c r="L24" s="32" t="s">
        <v>2</v>
      </c>
      <c r="M24" s="9"/>
      <c r="N24" s="119"/>
      <c r="O24" s="119"/>
      <c r="P24" s="47" t="str">
        <f t="shared" ref="P24:P34" si="0">T23</f>
        <v>RSUYQ125AVT</v>
      </c>
      <c r="Q24" s="40">
        <f t="shared" ref="Q24:Q35" si="1">U23</f>
        <v>112.5</v>
      </c>
      <c r="R24" s="5"/>
      <c r="T24" s="35" t="s">
        <v>159</v>
      </c>
      <c r="U24" s="7">
        <v>125</v>
      </c>
      <c r="V24" s="7" t="s">
        <v>154</v>
      </c>
      <c r="W24" s="7"/>
    </row>
    <row r="25" spans="1:23" x14ac:dyDescent="0.35">
      <c r="A25" s="98" t="s">
        <v>97</v>
      </c>
      <c r="B25" s="99"/>
      <c r="C25" s="18">
        <v>40</v>
      </c>
      <c r="D25" s="7" t="str">
        <f>VLOOKUP(D24,T22:V34,3,0)</f>
        <v>單相220V</v>
      </c>
      <c r="F25" s="29" t="s">
        <v>77</v>
      </c>
      <c r="G25" s="30" t="s">
        <v>171</v>
      </c>
      <c r="H25" s="30">
        <v>200</v>
      </c>
      <c r="I25" s="52" t="s">
        <v>5</v>
      </c>
      <c r="J25" s="52"/>
      <c r="K25" s="52"/>
      <c r="L25" s="31" t="s">
        <v>6</v>
      </c>
      <c r="M25" s="44"/>
      <c r="N25" s="9"/>
      <c r="O25" s="9"/>
      <c r="P25" s="47" t="str">
        <f t="shared" si="0"/>
        <v>RSUYQ140AVT</v>
      </c>
      <c r="Q25" s="40">
        <f t="shared" si="1"/>
        <v>125</v>
      </c>
      <c r="R25" s="43"/>
      <c r="T25" s="35" t="s">
        <v>160</v>
      </c>
      <c r="U25" s="7">
        <v>150</v>
      </c>
      <c r="V25" s="7" t="s">
        <v>154</v>
      </c>
      <c r="W25" s="7"/>
    </row>
    <row r="26" spans="1:23" x14ac:dyDescent="0.35">
      <c r="A26" s="100"/>
      <c r="B26" s="101"/>
      <c r="C26" s="18">
        <v>40</v>
      </c>
      <c r="F26" s="29">
        <v>200</v>
      </c>
      <c r="G26" s="30" t="s">
        <v>172</v>
      </c>
      <c r="H26" s="30">
        <v>250</v>
      </c>
      <c r="I26" s="52" t="s">
        <v>9</v>
      </c>
      <c r="J26" s="52"/>
      <c r="K26" s="52"/>
      <c r="L26" s="31" t="s">
        <v>10</v>
      </c>
      <c r="M26" s="44"/>
      <c r="N26" s="9"/>
      <c r="O26" s="9"/>
      <c r="P26" s="47" t="str">
        <f t="shared" si="0"/>
        <v>RSUYQ160AVT</v>
      </c>
      <c r="Q26" s="40">
        <f t="shared" si="1"/>
        <v>150</v>
      </c>
      <c r="R26" s="43"/>
      <c r="T26" s="41" t="s">
        <v>176</v>
      </c>
      <c r="U26" s="7">
        <v>100</v>
      </c>
      <c r="V26" s="7" t="s">
        <v>179</v>
      </c>
      <c r="W26" s="7"/>
    </row>
    <row r="27" spans="1:23" ht="18.600000000000001" thickBot="1" x14ac:dyDescent="0.4">
      <c r="A27" s="100"/>
      <c r="B27" s="101"/>
      <c r="C27" s="18"/>
      <c r="F27" s="27">
        <v>300</v>
      </c>
      <c r="G27" s="28" t="s">
        <v>173</v>
      </c>
      <c r="H27" s="28"/>
      <c r="I27" s="54" t="s">
        <v>13</v>
      </c>
      <c r="J27" s="54"/>
      <c r="K27" s="54"/>
      <c r="L27" s="33" t="s">
        <v>167</v>
      </c>
      <c r="M27" s="44"/>
      <c r="N27" s="9"/>
      <c r="O27" s="9"/>
      <c r="P27" s="47" t="str">
        <f t="shared" si="0"/>
        <v>RXYCQ4BVLT</v>
      </c>
      <c r="Q27" s="40">
        <f t="shared" si="1"/>
        <v>100</v>
      </c>
      <c r="R27" s="9"/>
      <c r="T27" s="41" t="s">
        <v>177</v>
      </c>
      <c r="U27" s="7">
        <v>112</v>
      </c>
      <c r="V27" s="7" t="s">
        <v>179</v>
      </c>
      <c r="W27" s="7"/>
    </row>
    <row r="28" spans="1:23" x14ac:dyDescent="0.35">
      <c r="A28" s="100"/>
      <c r="B28" s="101"/>
      <c r="C28" s="18"/>
      <c r="F28" s="34"/>
      <c r="G28" s="34"/>
      <c r="H28" s="34"/>
      <c r="I28" s="121"/>
      <c r="J28" s="121"/>
      <c r="K28" s="121"/>
      <c r="L28" s="34"/>
      <c r="P28" s="47" t="str">
        <f t="shared" si="0"/>
        <v>RXYCQ5BVLT</v>
      </c>
      <c r="Q28" s="40">
        <f t="shared" si="1"/>
        <v>112</v>
      </c>
      <c r="T28" s="41" t="s">
        <v>178</v>
      </c>
      <c r="U28" s="7">
        <v>125</v>
      </c>
      <c r="V28" s="7" t="s">
        <v>179</v>
      </c>
      <c r="W28" s="7"/>
    </row>
    <row r="29" spans="1:23" x14ac:dyDescent="0.35">
      <c r="A29" s="100"/>
      <c r="B29" s="101"/>
      <c r="C29" s="18"/>
      <c r="P29" s="47" t="str">
        <f t="shared" si="0"/>
        <v>RXYCQ6BVLT</v>
      </c>
      <c r="Q29" s="40">
        <f t="shared" si="1"/>
        <v>125</v>
      </c>
      <c r="T29" s="35" t="s">
        <v>161</v>
      </c>
      <c r="U29" s="7">
        <v>200</v>
      </c>
      <c r="V29" s="7" t="s">
        <v>155</v>
      </c>
      <c r="W29" s="7"/>
    </row>
    <row r="30" spans="1:23" ht="18.600000000000001" thickBot="1" x14ac:dyDescent="0.4">
      <c r="A30" s="100"/>
      <c r="B30" s="101"/>
      <c r="C30" s="18"/>
      <c r="F30" s="63" t="s">
        <v>93</v>
      </c>
      <c r="G30" s="63"/>
      <c r="H30" s="63"/>
      <c r="I30" s="63"/>
      <c r="P30" s="47" t="str">
        <f t="shared" si="0"/>
        <v>RXYMQ8TTLT</v>
      </c>
      <c r="Q30" s="40">
        <f t="shared" si="1"/>
        <v>200</v>
      </c>
      <c r="T30" s="35" t="s">
        <v>162</v>
      </c>
      <c r="U30" s="7">
        <v>223</v>
      </c>
      <c r="V30" s="7" t="s">
        <v>155</v>
      </c>
    </row>
    <row r="31" spans="1:23" x14ac:dyDescent="0.35">
      <c r="A31" s="100"/>
      <c r="B31" s="101"/>
      <c r="C31" s="18"/>
      <c r="F31" s="64" t="s">
        <v>186</v>
      </c>
      <c r="G31" s="65"/>
      <c r="H31" s="65"/>
      <c r="I31" s="65" t="s">
        <v>4</v>
      </c>
      <c r="J31" s="65"/>
      <c r="K31" s="65"/>
      <c r="L31" s="11" t="s">
        <v>2</v>
      </c>
      <c r="P31" s="47" t="str">
        <f t="shared" si="0"/>
        <v>RXYMQ10TTLT</v>
      </c>
      <c r="Q31" s="40">
        <f t="shared" si="1"/>
        <v>223</v>
      </c>
      <c r="T31" s="35" t="s">
        <v>163</v>
      </c>
      <c r="U31" s="7">
        <v>250</v>
      </c>
      <c r="V31" s="7" t="s">
        <v>156</v>
      </c>
    </row>
    <row r="32" spans="1:23" x14ac:dyDescent="0.35">
      <c r="A32" s="100"/>
      <c r="B32" s="101"/>
      <c r="C32" s="18"/>
      <c r="F32" s="12" t="s">
        <v>78</v>
      </c>
      <c r="G32" s="3" t="s">
        <v>74</v>
      </c>
      <c r="H32" s="3">
        <v>200</v>
      </c>
      <c r="I32" s="52" t="s">
        <v>5</v>
      </c>
      <c r="J32" s="52"/>
      <c r="K32" s="52"/>
      <c r="L32" s="13" t="s">
        <v>6</v>
      </c>
      <c r="P32" s="47" t="str">
        <f t="shared" si="0"/>
        <v>RXYMQ10ARYLT</v>
      </c>
      <c r="Q32" s="40">
        <f t="shared" si="1"/>
        <v>250</v>
      </c>
      <c r="T32" s="35" t="s">
        <v>164</v>
      </c>
      <c r="U32" s="7">
        <v>300</v>
      </c>
      <c r="V32" s="7" t="s">
        <v>156</v>
      </c>
    </row>
    <row r="33" spans="1:22" x14ac:dyDescent="0.35">
      <c r="A33" s="100"/>
      <c r="B33" s="101"/>
      <c r="C33" s="18"/>
      <c r="F33" s="12">
        <v>200</v>
      </c>
      <c r="G33" s="3" t="s">
        <v>75</v>
      </c>
      <c r="H33" s="3">
        <v>290</v>
      </c>
      <c r="I33" s="52" t="s">
        <v>9</v>
      </c>
      <c r="J33" s="52"/>
      <c r="K33" s="52"/>
      <c r="L33" s="13" t="s">
        <v>10</v>
      </c>
      <c r="P33" s="47" t="str">
        <f t="shared" si="0"/>
        <v>RXYMQ12ARYLT</v>
      </c>
      <c r="Q33" s="40">
        <f t="shared" si="1"/>
        <v>300</v>
      </c>
      <c r="T33" s="35" t="s">
        <v>165</v>
      </c>
      <c r="U33" s="7">
        <v>180</v>
      </c>
      <c r="V33" s="7" t="s">
        <v>156</v>
      </c>
    </row>
    <row r="34" spans="1:22" x14ac:dyDescent="0.35">
      <c r="A34" s="100"/>
      <c r="B34" s="101"/>
      <c r="C34" s="18"/>
      <c r="F34" s="12">
        <v>290</v>
      </c>
      <c r="G34" s="3" t="s">
        <v>81</v>
      </c>
      <c r="H34" s="3">
        <v>640</v>
      </c>
      <c r="I34" s="52" t="s">
        <v>13</v>
      </c>
      <c r="J34" s="52"/>
      <c r="K34" s="52"/>
      <c r="L34" s="13" t="s">
        <v>14</v>
      </c>
      <c r="P34" s="47" t="str">
        <f t="shared" si="0"/>
        <v>RXYMQ8TYLT</v>
      </c>
      <c r="Q34" s="40">
        <f t="shared" si="1"/>
        <v>180</v>
      </c>
      <c r="T34" s="35" t="s">
        <v>166</v>
      </c>
      <c r="U34" s="7">
        <v>215</v>
      </c>
      <c r="V34" s="7" t="s">
        <v>156</v>
      </c>
    </row>
    <row r="35" spans="1:22" ht="18.600000000000001" thickBot="1" x14ac:dyDescent="0.4">
      <c r="A35" s="100"/>
      <c r="B35" s="101"/>
      <c r="C35" s="18"/>
      <c r="F35" s="14">
        <v>640</v>
      </c>
      <c r="G35" s="15" t="s">
        <v>76</v>
      </c>
      <c r="H35" s="15" t="s">
        <v>77</v>
      </c>
      <c r="I35" s="54" t="s">
        <v>15</v>
      </c>
      <c r="J35" s="54"/>
      <c r="K35" s="54"/>
      <c r="L35" s="16" t="s">
        <v>16</v>
      </c>
      <c r="P35" s="48" t="str">
        <f>T34</f>
        <v>RXYMQ10TYLT</v>
      </c>
      <c r="Q35" s="42">
        <f t="shared" si="1"/>
        <v>215</v>
      </c>
    </row>
    <row r="36" spans="1:22" x14ac:dyDescent="0.35">
      <c r="A36" s="100"/>
      <c r="B36" s="101"/>
      <c r="C36" s="18"/>
    </row>
    <row r="37" spans="1:22" ht="18.600000000000001" thickBot="1" x14ac:dyDescent="0.4">
      <c r="A37" s="100"/>
      <c r="B37" s="101"/>
      <c r="C37" s="18"/>
      <c r="F37" s="63" t="s">
        <v>95</v>
      </c>
      <c r="G37" s="63"/>
      <c r="H37" s="63"/>
      <c r="I37" s="63"/>
    </row>
    <row r="38" spans="1:22" ht="19.5" customHeight="1" x14ac:dyDescent="0.35">
      <c r="A38" s="100"/>
      <c r="B38" s="101"/>
      <c r="C38" s="18"/>
      <c r="F38" s="66" t="s">
        <v>0</v>
      </c>
      <c r="G38" s="67"/>
      <c r="H38" s="68"/>
      <c r="I38" s="65" t="s">
        <v>17</v>
      </c>
      <c r="J38" s="65"/>
      <c r="K38" s="65" t="s">
        <v>18</v>
      </c>
      <c r="L38" s="65"/>
      <c r="M38" s="82" t="s">
        <v>2</v>
      </c>
      <c r="N38" s="61" t="s">
        <v>38</v>
      </c>
      <c r="O38" s="73"/>
      <c r="P38" s="73"/>
      <c r="Q38" s="73"/>
      <c r="R38" s="73"/>
      <c r="S38" s="74"/>
    </row>
    <row r="39" spans="1:22" x14ac:dyDescent="0.35">
      <c r="A39" s="100"/>
      <c r="B39" s="101"/>
      <c r="C39" s="18"/>
      <c r="F39" s="69"/>
      <c r="G39" s="70"/>
      <c r="H39" s="71"/>
      <c r="I39" s="52" t="s">
        <v>20</v>
      </c>
      <c r="J39" s="52"/>
      <c r="K39" s="52"/>
      <c r="L39" s="52"/>
      <c r="M39" s="83"/>
      <c r="N39" s="52" t="s">
        <v>39</v>
      </c>
      <c r="O39" s="52"/>
      <c r="P39" s="52" t="s">
        <v>40</v>
      </c>
      <c r="Q39" s="52"/>
      <c r="R39" s="52" t="s">
        <v>41</v>
      </c>
      <c r="S39" s="53"/>
    </row>
    <row r="40" spans="1:22" x14ac:dyDescent="0.35">
      <c r="A40" s="100"/>
      <c r="B40" s="101"/>
      <c r="C40" s="18"/>
      <c r="F40" s="23" t="s">
        <v>77</v>
      </c>
      <c r="G40" s="24" t="s">
        <v>79</v>
      </c>
      <c r="H40" s="24">
        <v>125</v>
      </c>
      <c r="I40" s="58" t="s">
        <v>45</v>
      </c>
      <c r="J40" s="57"/>
      <c r="K40" s="58" t="s">
        <v>47</v>
      </c>
      <c r="L40" s="57"/>
      <c r="M40" s="24" t="s">
        <v>21</v>
      </c>
      <c r="N40" s="58" t="s">
        <v>22</v>
      </c>
      <c r="O40" s="57"/>
      <c r="P40" s="58" t="s">
        <v>23</v>
      </c>
      <c r="Q40" s="57"/>
      <c r="R40" s="58" t="s">
        <v>24</v>
      </c>
      <c r="S40" s="120"/>
    </row>
    <row r="41" spans="1:22" x14ac:dyDescent="0.35">
      <c r="A41" s="100"/>
      <c r="B41" s="101"/>
      <c r="C41" s="18"/>
      <c r="F41" s="23">
        <v>150</v>
      </c>
      <c r="G41" s="24" t="s">
        <v>82</v>
      </c>
      <c r="H41" s="24">
        <v>200</v>
      </c>
      <c r="I41" s="52" t="s">
        <v>45</v>
      </c>
      <c r="J41" s="52"/>
      <c r="K41" s="52" t="s">
        <v>48</v>
      </c>
      <c r="L41" s="52"/>
      <c r="M41" s="24" t="s">
        <v>25</v>
      </c>
      <c r="N41" s="84" t="s">
        <v>22</v>
      </c>
      <c r="O41" s="92"/>
      <c r="P41" s="84" t="s">
        <v>23</v>
      </c>
      <c r="Q41" s="92"/>
      <c r="R41" s="84" t="s">
        <v>24</v>
      </c>
      <c r="S41" s="85"/>
    </row>
    <row r="42" spans="1:22" x14ac:dyDescent="0.35">
      <c r="A42" s="100"/>
      <c r="B42" s="101"/>
      <c r="C42" s="18"/>
      <c r="F42" s="23">
        <v>215</v>
      </c>
      <c r="G42" s="30" t="s">
        <v>82</v>
      </c>
      <c r="H42" s="24">
        <v>250</v>
      </c>
      <c r="I42" s="52" t="s">
        <v>45</v>
      </c>
      <c r="J42" s="52"/>
      <c r="K42" s="52" t="s">
        <v>49</v>
      </c>
      <c r="L42" s="52"/>
      <c r="M42" s="24" t="s">
        <v>26</v>
      </c>
      <c r="N42" s="52" t="s">
        <v>23</v>
      </c>
      <c r="O42" s="52"/>
      <c r="P42" s="52" t="s">
        <v>104</v>
      </c>
      <c r="Q42" s="52"/>
      <c r="R42" s="52" t="s">
        <v>105</v>
      </c>
      <c r="S42" s="53"/>
    </row>
    <row r="43" spans="1:22" ht="18.600000000000001" thickBot="1" x14ac:dyDescent="0.4">
      <c r="A43" s="100"/>
      <c r="B43" s="101"/>
      <c r="C43" s="18"/>
      <c r="F43" s="25">
        <v>300</v>
      </c>
      <c r="G43" s="26" t="s">
        <v>143</v>
      </c>
      <c r="H43" s="26" t="s">
        <v>77</v>
      </c>
      <c r="I43" s="54" t="s">
        <v>46</v>
      </c>
      <c r="J43" s="54"/>
      <c r="K43" s="54" t="s">
        <v>122</v>
      </c>
      <c r="L43" s="54"/>
      <c r="M43" s="26"/>
      <c r="N43" s="59" t="s">
        <v>150</v>
      </c>
      <c r="O43" s="60"/>
      <c r="P43" s="59" t="s">
        <v>151</v>
      </c>
      <c r="Q43" s="60"/>
      <c r="R43" s="59" t="s">
        <v>152</v>
      </c>
      <c r="S43" s="115"/>
      <c r="T43" s="9"/>
      <c r="U43" s="9"/>
      <c r="V43" s="9"/>
    </row>
    <row r="44" spans="1:22" x14ac:dyDescent="0.35">
      <c r="A44" s="100"/>
      <c r="B44" s="101"/>
      <c r="C44" s="18"/>
      <c r="F44" s="75" t="s">
        <v>108</v>
      </c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9"/>
      <c r="U44" s="9"/>
      <c r="V44" s="9"/>
    </row>
    <row r="45" spans="1:22" x14ac:dyDescent="0.35">
      <c r="A45" s="100"/>
      <c r="B45" s="101"/>
      <c r="C45" s="18"/>
      <c r="F45" s="10" t="s">
        <v>109</v>
      </c>
      <c r="T45" s="44"/>
      <c r="U45" s="9"/>
      <c r="V45" s="9"/>
    </row>
    <row r="46" spans="1:22" x14ac:dyDescent="0.35">
      <c r="A46" s="100"/>
      <c r="B46" s="101"/>
      <c r="C46" s="18"/>
      <c r="T46" s="44"/>
      <c r="U46" s="9"/>
      <c r="V46" s="9"/>
    </row>
    <row r="47" spans="1:22" ht="18.600000000000001" thickBot="1" x14ac:dyDescent="0.4">
      <c r="A47" s="100"/>
      <c r="B47" s="101"/>
      <c r="C47" s="18"/>
      <c r="F47" s="63" t="s">
        <v>96</v>
      </c>
      <c r="G47" s="63"/>
      <c r="H47" s="63"/>
      <c r="I47" s="63"/>
      <c r="T47" s="9"/>
      <c r="U47" s="9"/>
      <c r="V47" s="9"/>
    </row>
    <row r="48" spans="1:22" ht="21" customHeight="1" x14ac:dyDescent="0.35">
      <c r="A48" s="100"/>
      <c r="B48" s="101"/>
      <c r="C48" s="18"/>
      <c r="F48" s="76" t="s">
        <v>187</v>
      </c>
      <c r="G48" s="77"/>
      <c r="H48" s="78"/>
      <c r="I48" s="65" t="s">
        <v>17</v>
      </c>
      <c r="J48" s="65"/>
      <c r="K48" s="65" t="s">
        <v>18</v>
      </c>
      <c r="L48" s="65"/>
      <c r="M48" s="82" t="s">
        <v>2</v>
      </c>
      <c r="N48" s="61" t="s">
        <v>19</v>
      </c>
      <c r="O48" s="73"/>
      <c r="P48" s="73"/>
      <c r="Q48" s="73"/>
      <c r="R48" s="73"/>
      <c r="S48" s="74"/>
    </row>
    <row r="49" spans="1:19" ht="27.75" customHeight="1" x14ac:dyDescent="0.35">
      <c r="A49" s="100"/>
      <c r="B49" s="101"/>
      <c r="C49" s="18"/>
      <c r="F49" s="79"/>
      <c r="G49" s="80"/>
      <c r="H49" s="81"/>
      <c r="I49" s="52" t="s">
        <v>20</v>
      </c>
      <c r="J49" s="52"/>
      <c r="K49" s="52"/>
      <c r="L49" s="52"/>
      <c r="M49" s="83"/>
      <c r="N49" s="52" t="s">
        <v>39</v>
      </c>
      <c r="O49" s="52"/>
      <c r="P49" s="52" t="s">
        <v>40</v>
      </c>
      <c r="Q49" s="52"/>
      <c r="R49" s="52" t="s">
        <v>41</v>
      </c>
      <c r="S49" s="53"/>
    </row>
    <row r="50" spans="1:19" x14ac:dyDescent="0.35">
      <c r="A50" s="100"/>
      <c r="B50" s="101"/>
      <c r="C50" s="18"/>
      <c r="F50" s="12" t="s">
        <v>77</v>
      </c>
      <c r="G50" s="3" t="s">
        <v>84</v>
      </c>
      <c r="H50" s="3">
        <v>150</v>
      </c>
      <c r="I50" s="52" t="s">
        <v>45</v>
      </c>
      <c r="J50" s="52"/>
      <c r="K50" s="52" t="s">
        <v>47</v>
      </c>
      <c r="L50" s="52"/>
      <c r="M50" s="3" t="s">
        <v>21</v>
      </c>
      <c r="N50" s="84" t="s">
        <v>22</v>
      </c>
      <c r="O50" s="92"/>
      <c r="P50" s="84" t="s">
        <v>23</v>
      </c>
      <c r="Q50" s="92"/>
      <c r="R50" s="84" t="s">
        <v>24</v>
      </c>
      <c r="S50" s="85"/>
    </row>
    <row r="51" spans="1:19" x14ac:dyDescent="0.35">
      <c r="A51" s="100"/>
      <c r="B51" s="101"/>
      <c r="C51" s="18"/>
      <c r="F51" s="12">
        <v>150</v>
      </c>
      <c r="G51" s="3" t="s">
        <v>83</v>
      </c>
      <c r="H51" s="3">
        <v>200</v>
      </c>
      <c r="I51" s="52" t="s">
        <v>45</v>
      </c>
      <c r="J51" s="52"/>
      <c r="K51" s="52" t="s">
        <v>48</v>
      </c>
      <c r="L51" s="52"/>
      <c r="M51" s="3" t="s">
        <v>25</v>
      </c>
      <c r="N51" s="97"/>
      <c r="O51" s="71"/>
      <c r="P51" s="97"/>
      <c r="Q51" s="71"/>
      <c r="R51" s="97"/>
      <c r="S51" s="104"/>
    </row>
    <row r="52" spans="1:19" x14ac:dyDescent="0.35">
      <c r="A52" s="100"/>
      <c r="B52" s="101"/>
      <c r="C52" s="18"/>
      <c r="F52" s="12">
        <v>200</v>
      </c>
      <c r="G52" s="3" t="s">
        <v>85</v>
      </c>
      <c r="H52" s="3">
        <v>290</v>
      </c>
      <c r="I52" s="52" t="s">
        <v>45</v>
      </c>
      <c r="J52" s="52"/>
      <c r="K52" s="52" t="s">
        <v>49</v>
      </c>
      <c r="L52" s="52"/>
      <c r="M52" s="3" t="s">
        <v>26</v>
      </c>
      <c r="N52" s="52" t="s">
        <v>23</v>
      </c>
      <c r="O52" s="52"/>
      <c r="P52" s="52" t="s">
        <v>104</v>
      </c>
      <c r="Q52" s="52"/>
      <c r="R52" s="52" t="s">
        <v>105</v>
      </c>
      <c r="S52" s="53"/>
    </row>
    <row r="53" spans="1:19" x14ac:dyDescent="0.35">
      <c r="A53" s="100"/>
      <c r="B53" s="101"/>
      <c r="C53" s="18"/>
      <c r="F53" s="12">
        <v>290</v>
      </c>
      <c r="G53" s="3" t="s">
        <v>86</v>
      </c>
      <c r="H53" s="3">
        <v>420</v>
      </c>
      <c r="I53" s="52" t="s">
        <v>46</v>
      </c>
      <c r="J53" s="52"/>
      <c r="K53" s="52" t="s">
        <v>50</v>
      </c>
      <c r="L53" s="52"/>
      <c r="M53" s="3" t="s">
        <v>27</v>
      </c>
      <c r="N53" s="84" t="s">
        <v>24</v>
      </c>
      <c r="O53" s="92"/>
      <c r="P53" s="84" t="s">
        <v>106</v>
      </c>
      <c r="Q53" s="92"/>
      <c r="R53" s="84" t="s">
        <v>107</v>
      </c>
      <c r="S53" s="85"/>
    </row>
    <row r="54" spans="1:19" x14ac:dyDescent="0.35">
      <c r="A54" s="100"/>
      <c r="B54" s="101"/>
      <c r="C54" s="18"/>
      <c r="F54" s="12">
        <v>420</v>
      </c>
      <c r="G54" s="3" t="s">
        <v>83</v>
      </c>
      <c r="H54" s="3">
        <v>640</v>
      </c>
      <c r="I54" s="52" t="s">
        <v>47</v>
      </c>
      <c r="J54" s="52"/>
      <c r="K54" s="52" t="s">
        <v>50</v>
      </c>
      <c r="L54" s="52"/>
      <c r="M54" s="3" t="s">
        <v>28</v>
      </c>
      <c r="N54" s="97"/>
      <c r="O54" s="71"/>
      <c r="P54" s="97"/>
      <c r="Q54" s="71"/>
      <c r="R54" s="97"/>
      <c r="S54" s="104"/>
    </row>
    <row r="55" spans="1:19" x14ac:dyDescent="0.35">
      <c r="A55" s="116"/>
      <c r="B55" s="81"/>
      <c r="C55" s="18"/>
      <c r="F55" s="12">
        <v>640</v>
      </c>
      <c r="G55" s="3" t="s">
        <v>83</v>
      </c>
      <c r="H55" s="3">
        <v>920</v>
      </c>
      <c r="I55" s="52" t="s">
        <v>48</v>
      </c>
      <c r="J55" s="52"/>
      <c r="K55" s="52" t="s">
        <v>51</v>
      </c>
      <c r="L55" s="52"/>
      <c r="M55" s="3" t="s">
        <v>30</v>
      </c>
      <c r="N55" s="107" t="s">
        <v>130</v>
      </c>
      <c r="O55" s="107"/>
      <c r="P55" s="84" t="s">
        <v>61</v>
      </c>
      <c r="Q55" s="92"/>
      <c r="R55" s="84" t="s">
        <v>32</v>
      </c>
      <c r="S55" s="85"/>
    </row>
    <row r="56" spans="1:19" ht="18.600000000000001" thickBot="1" x14ac:dyDescent="0.4">
      <c r="A56" s="52" t="s">
        <v>92</v>
      </c>
      <c r="B56" s="52"/>
      <c r="C56" s="3">
        <f>SUM(C25:C55)</f>
        <v>80</v>
      </c>
      <c r="F56" s="14">
        <v>920</v>
      </c>
      <c r="G56" s="15" t="s">
        <v>88</v>
      </c>
      <c r="H56" s="15" t="s">
        <v>77</v>
      </c>
      <c r="I56" s="54" t="s">
        <v>48</v>
      </c>
      <c r="J56" s="54"/>
      <c r="K56" s="54" t="s">
        <v>52</v>
      </c>
      <c r="L56" s="54"/>
      <c r="M56" s="15" t="s">
        <v>31</v>
      </c>
      <c r="N56" s="88" t="s">
        <v>131</v>
      </c>
      <c r="O56" s="88"/>
      <c r="P56" s="86"/>
      <c r="Q56" s="111"/>
      <c r="R56" s="86"/>
      <c r="S56" s="87"/>
    </row>
    <row r="57" spans="1:19" ht="19.5" customHeight="1" x14ac:dyDescent="0.35">
      <c r="F57" s="114"/>
      <c r="G57" s="114"/>
      <c r="H57" s="114"/>
      <c r="I57" s="114"/>
      <c r="J57" s="114"/>
      <c r="K57" s="114"/>
      <c r="L57" s="114"/>
    </row>
    <row r="59" spans="1:19" ht="18.600000000000001" thickBot="1" x14ac:dyDescent="0.4">
      <c r="F59" s="89" t="s">
        <v>33</v>
      </c>
      <c r="G59" s="89"/>
      <c r="H59" s="89"/>
    </row>
    <row r="60" spans="1:19" ht="19.5" customHeight="1" x14ac:dyDescent="0.35">
      <c r="F60" s="64" t="s">
        <v>34</v>
      </c>
      <c r="G60" s="65"/>
      <c r="H60" s="65"/>
      <c r="I60" s="65" t="s">
        <v>17</v>
      </c>
      <c r="J60" s="65"/>
      <c r="K60" s="65" t="s">
        <v>18</v>
      </c>
      <c r="L60" s="65"/>
      <c r="M60" s="82" t="s">
        <v>2</v>
      </c>
      <c r="N60" s="65" t="s">
        <v>57</v>
      </c>
      <c r="O60" s="65"/>
      <c r="P60" s="112"/>
      <c r="Q60" s="2"/>
      <c r="R60" s="2"/>
    </row>
    <row r="61" spans="1:19" ht="19.5" customHeight="1" x14ac:dyDescent="0.35">
      <c r="F61" s="96"/>
      <c r="G61" s="52"/>
      <c r="H61" s="52"/>
      <c r="I61" s="52" t="s">
        <v>20</v>
      </c>
      <c r="J61" s="52"/>
      <c r="K61" s="52"/>
      <c r="L61" s="52"/>
      <c r="M61" s="83"/>
      <c r="N61" s="4" t="s">
        <v>43</v>
      </c>
      <c r="O61" s="3" t="s">
        <v>44</v>
      </c>
      <c r="P61" s="13" t="s">
        <v>55</v>
      </c>
      <c r="Q61" s="5"/>
    </row>
    <row r="62" spans="1:19" x14ac:dyDescent="0.35">
      <c r="F62" s="96" t="s">
        <v>35</v>
      </c>
      <c r="G62" s="52"/>
      <c r="H62" s="52"/>
      <c r="I62" s="52" t="s">
        <v>53</v>
      </c>
      <c r="J62" s="52"/>
      <c r="K62" s="52" t="s">
        <v>46</v>
      </c>
      <c r="L62" s="52"/>
      <c r="M62" s="3" t="s">
        <v>36</v>
      </c>
      <c r="N62" s="3" t="s">
        <v>37</v>
      </c>
      <c r="O62" s="3" t="s">
        <v>59</v>
      </c>
      <c r="P62" s="13" t="s">
        <v>60</v>
      </c>
      <c r="Q62" s="9"/>
    </row>
    <row r="63" spans="1:19" x14ac:dyDescent="0.35">
      <c r="F63" s="96" t="s">
        <v>103</v>
      </c>
      <c r="G63" s="52"/>
      <c r="H63" s="52"/>
      <c r="I63" s="52" t="s">
        <v>45</v>
      </c>
      <c r="J63" s="52"/>
      <c r="K63" s="52" t="s">
        <v>47</v>
      </c>
      <c r="L63" s="52"/>
      <c r="M63" s="3" t="s">
        <v>21</v>
      </c>
      <c r="N63" s="3" t="s">
        <v>37</v>
      </c>
      <c r="O63" s="3" t="s">
        <v>59</v>
      </c>
      <c r="P63" s="13" t="s">
        <v>60</v>
      </c>
      <c r="Q63" s="9"/>
    </row>
    <row r="64" spans="1:19" x14ac:dyDescent="0.35">
      <c r="F64" s="96">
        <v>200</v>
      </c>
      <c r="G64" s="52"/>
      <c r="H64" s="52"/>
      <c r="I64" s="52" t="s">
        <v>45</v>
      </c>
      <c r="J64" s="52"/>
      <c r="K64" s="52" t="s">
        <v>48</v>
      </c>
      <c r="L64" s="52"/>
      <c r="M64" s="3" t="s">
        <v>25</v>
      </c>
      <c r="N64" s="3" t="s">
        <v>37</v>
      </c>
      <c r="O64" s="3" t="s">
        <v>59</v>
      </c>
      <c r="P64" s="13" t="s">
        <v>60</v>
      </c>
      <c r="Q64" s="9"/>
    </row>
    <row r="65" spans="6:25" ht="18.600000000000001" thickBot="1" x14ac:dyDescent="0.4">
      <c r="F65" s="90">
        <v>250</v>
      </c>
      <c r="G65" s="54"/>
      <c r="H65" s="54"/>
      <c r="I65" s="54" t="s">
        <v>45</v>
      </c>
      <c r="J65" s="54"/>
      <c r="K65" s="54" t="s">
        <v>49</v>
      </c>
      <c r="L65" s="54"/>
      <c r="M65" s="15" t="s">
        <v>26</v>
      </c>
      <c r="N65" s="15" t="s">
        <v>59</v>
      </c>
      <c r="O65" s="15" t="s">
        <v>72</v>
      </c>
      <c r="P65" s="17" t="s">
        <v>73</v>
      </c>
      <c r="Q65" s="9"/>
    </row>
    <row r="67" spans="6:25" x14ac:dyDescent="0.35">
      <c r="Y67" s="1" t="s">
        <v>139</v>
      </c>
    </row>
    <row r="69" spans="6:25" ht="18.600000000000001" thickBot="1" x14ac:dyDescent="0.4">
      <c r="F69" s="10" t="s">
        <v>148</v>
      </c>
    </row>
    <row r="70" spans="6:25" x14ac:dyDescent="0.35">
      <c r="F70" s="95" t="s">
        <v>111</v>
      </c>
      <c r="G70" s="73"/>
      <c r="H70" s="62"/>
      <c r="I70" s="61" t="s">
        <v>113</v>
      </c>
      <c r="J70" s="62"/>
      <c r="K70" s="65" t="s">
        <v>112</v>
      </c>
      <c r="L70" s="65"/>
      <c r="M70" s="73" t="s">
        <v>38</v>
      </c>
      <c r="N70" s="73"/>
      <c r="O70" s="73"/>
      <c r="P70" s="73"/>
      <c r="Q70" s="73"/>
      <c r="R70" s="74"/>
    </row>
    <row r="71" spans="6:25" x14ac:dyDescent="0.35">
      <c r="F71" s="113"/>
      <c r="G71" s="72"/>
      <c r="H71" s="57"/>
      <c r="I71" s="58" t="s">
        <v>117</v>
      </c>
      <c r="J71" s="72"/>
      <c r="K71" s="72"/>
      <c r="L71" s="57"/>
      <c r="M71" s="57" t="s">
        <v>39</v>
      </c>
      <c r="N71" s="52"/>
      <c r="O71" s="52" t="s">
        <v>40</v>
      </c>
      <c r="P71" s="52"/>
      <c r="Q71" s="52" t="s">
        <v>41</v>
      </c>
      <c r="R71" s="53"/>
    </row>
    <row r="72" spans="6:25" x14ac:dyDescent="0.35">
      <c r="F72" s="29" t="s">
        <v>77</v>
      </c>
      <c r="G72" s="30" t="s">
        <v>145</v>
      </c>
      <c r="H72" s="30">
        <v>125</v>
      </c>
      <c r="I72" s="58" t="s">
        <v>137</v>
      </c>
      <c r="J72" s="57"/>
      <c r="K72" s="58" t="s">
        <v>138</v>
      </c>
      <c r="L72" s="57"/>
      <c r="M72" s="57" t="s">
        <v>22</v>
      </c>
      <c r="N72" s="52"/>
      <c r="O72" s="52" t="s">
        <v>23</v>
      </c>
      <c r="P72" s="52"/>
      <c r="Q72" s="52" t="s">
        <v>24</v>
      </c>
      <c r="R72" s="53"/>
    </row>
    <row r="73" spans="6:25" x14ac:dyDescent="0.35">
      <c r="F73" s="29" t="s">
        <v>77</v>
      </c>
      <c r="G73" s="30" t="s">
        <v>89</v>
      </c>
      <c r="H73" s="30">
        <v>150</v>
      </c>
      <c r="I73" s="58" t="s">
        <v>137</v>
      </c>
      <c r="J73" s="57"/>
      <c r="K73" s="58" t="s">
        <v>119</v>
      </c>
      <c r="L73" s="57"/>
      <c r="M73" s="57" t="s">
        <v>23</v>
      </c>
      <c r="N73" s="52"/>
      <c r="O73" s="52" t="s">
        <v>104</v>
      </c>
      <c r="P73" s="52"/>
      <c r="Q73" s="52" t="s">
        <v>105</v>
      </c>
      <c r="R73" s="53"/>
      <c r="T73" s="9"/>
      <c r="U73" s="9"/>
      <c r="V73" s="9"/>
      <c r="W73" s="9"/>
    </row>
    <row r="74" spans="6:25" x14ac:dyDescent="0.35">
      <c r="F74" s="29">
        <v>180</v>
      </c>
      <c r="G74" s="30" t="s">
        <v>82</v>
      </c>
      <c r="H74" s="30">
        <v>223</v>
      </c>
      <c r="I74" s="58" t="s">
        <v>120</v>
      </c>
      <c r="J74" s="57"/>
      <c r="K74" s="58" t="s">
        <v>49</v>
      </c>
      <c r="L74" s="57"/>
      <c r="M74" s="57" t="s">
        <v>23</v>
      </c>
      <c r="N74" s="52"/>
      <c r="O74" s="52" t="s">
        <v>104</v>
      </c>
      <c r="P74" s="52"/>
      <c r="Q74" s="52" t="s">
        <v>105</v>
      </c>
      <c r="R74" s="53"/>
      <c r="T74" s="9"/>
      <c r="U74" s="9"/>
      <c r="V74" s="9"/>
      <c r="W74" s="9"/>
    </row>
    <row r="75" spans="6:25" x14ac:dyDescent="0.35">
      <c r="F75" s="29">
        <v>250</v>
      </c>
      <c r="G75" s="30" t="s">
        <v>144</v>
      </c>
      <c r="H75" s="30"/>
      <c r="I75" s="58" t="s">
        <v>120</v>
      </c>
      <c r="J75" s="57"/>
      <c r="K75" s="58" t="s">
        <v>122</v>
      </c>
      <c r="L75" s="57"/>
      <c r="M75" s="57" t="s">
        <v>24</v>
      </c>
      <c r="N75" s="52"/>
      <c r="O75" s="52" t="s">
        <v>106</v>
      </c>
      <c r="P75" s="52"/>
      <c r="Q75" s="52" t="s">
        <v>107</v>
      </c>
      <c r="R75" s="53"/>
      <c r="T75" s="9"/>
      <c r="U75" s="9"/>
      <c r="V75" s="9"/>
      <c r="W75" s="9"/>
    </row>
    <row r="76" spans="6:25" ht="18.600000000000001" thickBot="1" x14ac:dyDescent="0.4">
      <c r="F76" s="27">
        <v>300</v>
      </c>
      <c r="G76" s="28" t="s">
        <v>144</v>
      </c>
      <c r="H76" s="28"/>
      <c r="I76" s="59" t="s">
        <v>146</v>
      </c>
      <c r="J76" s="60"/>
      <c r="K76" s="59" t="s">
        <v>50</v>
      </c>
      <c r="L76" s="60"/>
      <c r="M76" s="60" t="s">
        <v>24</v>
      </c>
      <c r="N76" s="54"/>
      <c r="O76" s="54" t="s">
        <v>106</v>
      </c>
      <c r="P76" s="54"/>
      <c r="Q76" s="54" t="s">
        <v>107</v>
      </c>
      <c r="R76" s="55"/>
      <c r="T76" s="9"/>
      <c r="U76" s="9"/>
      <c r="V76" s="9"/>
      <c r="W76" s="9"/>
    </row>
    <row r="77" spans="6:25" x14ac:dyDescent="0.35">
      <c r="T77" s="9"/>
      <c r="U77" s="9"/>
      <c r="V77" s="9"/>
      <c r="W77" s="9"/>
    </row>
    <row r="78" spans="6:25" x14ac:dyDescent="0.35">
      <c r="T78" s="9"/>
      <c r="U78" s="9"/>
      <c r="V78" s="9"/>
      <c r="W78" s="9"/>
    </row>
    <row r="79" spans="6:25" x14ac:dyDescent="0.35">
      <c r="T79" s="9"/>
      <c r="U79" s="9"/>
      <c r="V79" s="9"/>
      <c r="W79" s="9"/>
    </row>
    <row r="80" spans="6:25" x14ac:dyDescent="0.35">
      <c r="T80" s="9"/>
      <c r="U80" s="9"/>
      <c r="V80" s="9"/>
      <c r="W80" s="9"/>
    </row>
  </sheetData>
  <mergeCells count="142">
    <mergeCell ref="A1:O20"/>
    <mergeCell ref="P1:S3"/>
    <mergeCell ref="P4:S6"/>
    <mergeCell ref="R41:S41"/>
    <mergeCell ref="M38:M39"/>
    <mergeCell ref="N38:S38"/>
    <mergeCell ref="I39:L39"/>
    <mergeCell ref="N39:O39"/>
    <mergeCell ref="P41:Q41"/>
    <mergeCell ref="F23:I23"/>
    <mergeCell ref="A24:B24"/>
    <mergeCell ref="F24:H24"/>
    <mergeCell ref="I24:K24"/>
    <mergeCell ref="N24:O24"/>
    <mergeCell ref="R40:S40"/>
    <mergeCell ref="K40:L40"/>
    <mergeCell ref="I26:K26"/>
    <mergeCell ref="I27:K27"/>
    <mergeCell ref="I28:K28"/>
    <mergeCell ref="F30:I30"/>
    <mergeCell ref="I25:K25"/>
    <mergeCell ref="P39:Q39"/>
    <mergeCell ref="R39:S39"/>
    <mergeCell ref="I40:J40"/>
    <mergeCell ref="F31:H31"/>
    <mergeCell ref="I31:K31"/>
    <mergeCell ref="I32:K32"/>
    <mergeCell ref="I33:K33"/>
    <mergeCell ref="I34:K34"/>
    <mergeCell ref="A25:B55"/>
    <mergeCell ref="A56:B56"/>
    <mergeCell ref="I56:J56"/>
    <mergeCell ref="K56:L56"/>
    <mergeCell ref="I35:K35"/>
    <mergeCell ref="N49:O49"/>
    <mergeCell ref="P49:Q49"/>
    <mergeCell ref="R49:S49"/>
    <mergeCell ref="I52:J52"/>
    <mergeCell ref="K52:L52"/>
    <mergeCell ref="N52:O52"/>
    <mergeCell ref="R55:S56"/>
    <mergeCell ref="P55:Q56"/>
    <mergeCell ref="I50:J50"/>
    <mergeCell ref="R52:S52"/>
    <mergeCell ref="I53:J53"/>
    <mergeCell ref="K53:L53"/>
    <mergeCell ref="R53:S54"/>
    <mergeCell ref="P52:Q52"/>
    <mergeCell ref="P42:Q42"/>
    <mergeCell ref="R42:S42"/>
    <mergeCell ref="I43:J43"/>
    <mergeCell ref="K43:L43"/>
    <mergeCell ref="N43:O43"/>
    <mergeCell ref="P43:Q43"/>
    <mergeCell ref="R43:S43"/>
    <mergeCell ref="K50:L50"/>
    <mergeCell ref="N50:O51"/>
    <mergeCell ref="F44:S44"/>
    <mergeCell ref="I42:J42"/>
    <mergeCell ref="K42:L42"/>
    <mergeCell ref="N42:O42"/>
    <mergeCell ref="P50:Q51"/>
    <mergeCell ref="R50:S51"/>
    <mergeCell ref="I51:J51"/>
    <mergeCell ref="K51:L51"/>
    <mergeCell ref="F47:I47"/>
    <mergeCell ref="F48:H49"/>
    <mergeCell ref="I48:J48"/>
    <mergeCell ref="K48:L48"/>
    <mergeCell ref="M48:M49"/>
    <mergeCell ref="N48:S48"/>
    <mergeCell ref="I49:L49"/>
    <mergeCell ref="F59:H59"/>
    <mergeCell ref="F60:H61"/>
    <mergeCell ref="I60:J60"/>
    <mergeCell ref="K60:L60"/>
    <mergeCell ref="M60:M61"/>
    <mergeCell ref="N60:P60"/>
    <mergeCell ref="I61:L61"/>
    <mergeCell ref="I54:J54"/>
    <mergeCell ref="K54:L54"/>
    <mergeCell ref="I55:J55"/>
    <mergeCell ref="K55:L55"/>
    <mergeCell ref="N55:O55"/>
    <mergeCell ref="F57:L57"/>
    <mergeCell ref="N53:O54"/>
    <mergeCell ref="P53:Q54"/>
    <mergeCell ref="N56:O56"/>
    <mergeCell ref="P40:Q40"/>
    <mergeCell ref="F37:I37"/>
    <mergeCell ref="F38:H39"/>
    <mergeCell ref="I38:J38"/>
    <mergeCell ref="K38:L38"/>
    <mergeCell ref="I41:J41"/>
    <mergeCell ref="K41:L41"/>
    <mergeCell ref="N40:O40"/>
    <mergeCell ref="N41:O41"/>
    <mergeCell ref="F65:H65"/>
    <mergeCell ref="I65:J65"/>
    <mergeCell ref="K65:L65"/>
    <mergeCell ref="F62:H62"/>
    <mergeCell ref="I62:J62"/>
    <mergeCell ref="K62:L62"/>
    <mergeCell ref="F63:H63"/>
    <mergeCell ref="I63:J63"/>
    <mergeCell ref="K63:L63"/>
    <mergeCell ref="F64:H64"/>
    <mergeCell ref="I64:J64"/>
    <mergeCell ref="K64:L64"/>
    <mergeCell ref="F70:H71"/>
    <mergeCell ref="I70:J70"/>
    <mergeCell ref="K70:L70"/>
    <mergeCell ref="M70:R70"/>
    <mergeCell ref="I71:L71"/>
    <mergeCell ref="M71:N71"/>
    <mergeCell ref="O71:P71"/>
    <mergeCell ref="Q71:R71"/>
    <mergeCell ref="I72:J72"/>
    <mergeCell ref="K72:L72"/>
    <mergeCell ref="M72:N72"/>
    <mergeCell ref="O72:P72"/>
    <mergeCell ref="Q72:R72"/>
    <mergeCell ref="I73:J73"/>
    <mergeCell ref="K73:L73"/>
    <mergeCell ref="M73:N73"/>
    <mergeCell ref="O73:P73"/>
    <mergeCell ref="Q73:R73"/>
    <mergeCell ref="I76:J76"/>
    <mergeCell ref="K76:L76"/>
    <mergeCell ref="M76:N76"/>
    <mergeCell ref="O76:P76"/>
    <mergeCell ref="Q76:R76"/>
    <mergeCell ref="I74:J74"/>
    <mergeCell ref="K74:L74"/>
    <mergeCell ref="M74:N74"/>
    <mergeCell ref="O74:P74"/>
    <mergeCell ref="Q74:R74"/>
    <mergeCell ref="I75:J75"/>
    <mergeCell ref="K75:L75"/>
    <mergeCell ref="M75:N75"/>
    <mergeCell ref="O75:P75"/>
    <mergeCell ref="Q75:R75"/>
  </mergeCells>
  <phoneticPr fontId="1" type="noConversion"/>
  <conditionalFormatting sqref="I25:L25">
    <cfRule type="expression" dxfId="23" priority="2">
      <formula>$C$24&lt;200</formula>
    </cfRule>
  </conditionalFormatting>
  <conditionalFormatting sqref="I26:L26">
    <cfRule type="expression" dxfId="22" priority="43">
      <formula>AND($C$24&gt;=$F$26,$C$24&lt;=$H$26)</formula>
    </cfRule>
  </conditionalFormatting>
  <conditionalFormatting sqref="I27:L27">
    <cfRule type="expression" dxfId="21" priority="1">
      <formula>$C$24=$F$27</formula>
    </cfRule>
  </conditionalFormatting>
  <conditionalFormatting sqref="I32:L32">
    <cfRule type="expression" dxfId="20" priority="142">
      <formula>$C$56&lt;$H$32</formula>
    </cfRule>
  </conditionalFormatting>
  <conditionalFormatting sqref="I33:L33">
    <cfRule type="expression" dxfId="19" priority="143">
      <formula>AND($C$56&gt;=$F$33,$C$56&lt;$H$33)</formula>
    </cfRule>
  </conditionalFormatting>
  <conditionalFormatting sqref="I34:L34">
    <cfRule type="expression" dxfId="18" priority="144">
      <formula>AND($C$56&gt;=$F$34,$C$56&lt;$H$34)</formula>
    </cfRule>
  </conditionalFormatting>
  <conditionalFormatting sqref="I35:L35">
    <cfRule type="expression" dxfId="17" priority="145">
      <formula>$C$56&gt;=$F$35</formula>
    </cfRule>
  </conditionalFormatting>
  <conditionalFormatting sqref="I50:L50">
    <cfRule type="expression" dxfId="16" priority="51">
      <formula>AND($C$56&lt;$H$50)</formula>
    </cfRule>
  </conditionalFormatting>
  <conditionalFormatting sqref="I72:L72">
    <cfRule type="expression" dxfId="15" priority="11">
      <formula>$C$24&lt;=$H$72</formula>
    </cfRule>
  </conditionalFormatting>
  <conditionalFormatting sqref="I73:L73">
    <cfRule type="expression" dxfId="14" priority="9">
      <formula>$C$24=$H$73</formula>
    </cfRule>
  </conditionalFormatting>
  <conditionalFormatting sqref="I74:L74">
    <cfRule type="expression" dxfId="13" priority="5">
      <formula>AND($C$24&gt;=$F$74,$C$24&lt;=$H$74)</formula>
    </cfRule>
  </conditionalFormatting>
  <conditionalFormatting sqref="I75:L75">
    <cfRule type="expression" dxfId="12" priority="3">
      <formula>$C$24=$F$75</formula>
    </cfRule>
  </conditionalFormatting>
  <conditionalFormatting sqref="I76:L76">
    <cfRule type="expression" dxfId="11" priority="7">
      <formula>$C$24=$F$76</formula>
    </cfRule>
  </conditionalFormatting>
  <conditionalFormatting sqref="I40:M40">
    <cfRule type="expression" dxfId="10" priority="36">
      <formula>$C$24&lt;=$H$40</formula>
    </cfRule>
  </conditionalFormatting>
  <conditionalFormatting sqref="I41:M41">
    <cfRule type="expression" dxfId="9" priority="35">
      <formula>AND($C$24&gt;=$F$41,$C$24&lt;=$H$41)</formula>
    </cfRule>
  </conditionalFormatting>
  <conditionalFormatting sqref="I42:M42">
    <cfRule type="expression" dxfId="8" priority="34">
      <formula>AND($C$24&gt;=$F$42,$C$24&lt;=$H$42)</formula>
    </cfRule>
  </conditionalFormatting>
  <conditionalFormatting sqref="I43:M43">
    <cfRule type="expression" dxfId="7" priority="33">
      <formula>AND($C$24&gt;=$F$43,$C$24&lt;=$H$43)</formula>
    </cfRule>
  </conditionalFormatting>
  <conditionalFormatting sqref="I51:M51">
    <cfRule type="expression" dxfId="6" priority="53">
      <formula>AND($C$56&gt;=$F$51,$C$56&lt;$H$51)</formula>
    </cfRule>
  </conditionalFormatting>
  <conditionalFormatting sqref="I52:M52">
    <cfRule type="expression" dxfId="5" priority="54">
      <formula>AND($C$56&gt;=$F$52,$C$56&lt;$H$52)</formula>
    </cfRule>
  </conditionalFormatting>
  <conditionalFormatting sqref="I53:M53">
    <cfRule type="expression" dxfId="4" priority="55">
      <formula>AND($C$56&gt;=$F$53,$C$56&lt;$H$53)</formula>
    </cfRule>
  </conditionalFormatting>
  <conditionalFormatting sqref="I54:M54">
    <cfRule type="expression" dxfId="3" priority="56">
      <formula>AND($C$56&gt;=$F$54,$C$56&lt;$H$54)</formula>
    </cfRule>
  </conditionalFormatting>
  <conditionalFormatting sqref="I55:M55">
    <cfRule type="expression" dxfId="2" priority="57">
      <formula>AND($C$56&gt;=$F$55,$C$56&lt;$H$55)</formula>
    </cfRule>
  </conditionalFormatting>
  <conditionalFormatting sqref="I56:M56">
    <cfRule type="expression" dxfId="1" priority="58">
      <formula>$C$56&gt;=$F$56</formula>
    </cfRule>
  </conditionalFormatting>
  <conditionalFormatting sqref="M50">
    <cfRule type="expression" dxfId="0" priority="52">
      <formula>$C$56&lt;$H$50</formula>
    </cfRule>
  </conditionalFormatting>
  <dataValidations count="1">
    <dataValidation type="list" allowBlank="1" showInputMessage="1" showErrorMessage="1" sqref="D24" xr:uid="{D8B39F06-005A-4ADD-AC4F-9FF1988BFD5B}">
      <formula1>$T$22:$T$34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40" orientation="portrait" r:id="rId1"/>
  <headerFooter alignWithMargins="0"/>
  <ignoredErrors>
    <ignoredError sqref="C56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上吹型VRV管路選用表(計算工具)</vt:lpstr>
      <vt:lpstr>側吹型VRV-S管路選用表(計算工具)</vt:lpstr>
      <vt:lpstr>'上吹型VRV管路選用表(計算工具)'!Print_Area</vt:lpstr>
      <vt:lpstr>'側吹型VRV-S管路選用表(計算工具)'!Print_Area</vt:lpstr>
    </vt:vector>
  </TitlesOfParts>
  <Company>HOTAI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VRVII管徑選配表</dc:title>
  <dc:creator>yanleon</dc:creator>
  <cp:lastModifiedBy>黃宇涵</cp:lastModifiedBy>
  <cp:lastPrinted>2026-05-07T01:42:19Z</cp:lastPrinted>
  <dcterms:created xsi:type="dcterms:W3CDTF">2003-06-05T09:37:16Z</dcterms:created>
  <dcterms:modified xsi:type="dcterms:W3CDTF">2026-06-03T02:28:42Z</dcterms:modified>
</cp:coreProperties>
</file>