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選機" sheetId="1" state="visible" r:id="rId1"/>
    <sheet name="資料庫" sheetId="2" state="hidden" r:id="rId2"/>
    <sheet name="設備統計總表" sheetId="3" state="visible" r:id="rId3"/>
    <sheet name="系統套數" sheetId="4" state="visible" r:id="rId4"/>
    <sheet name="D3-NET分析" sheetId="5" state="visible" r:id="rId5"/>
  </sheets>
  <externalReferences>
    <externalReference r:id="rId6"/>
    <externalReference r:id="rId7"/>
    <externalReference r:id="rId8"/>
  </externalReferences>
  <definedNames>
    <definedName name="VRV能力">[1]不要刪!$B$2:$B$13</definedName>
    <definedName name="VRV機型">[3]不要刪!$A$2:$A$14</definedName>
    <definedName name="室內機冷房能力">資料庫!$C$5:$C$300</definedName>
    <definedName name="室內機型號">資料庫!$B$5:$B$300</definedName>
    <definedName name="室內機電源">資料庫!$F$5:$F$300</definedName>
    <definedName name="室內機標稱能力">資料庫!$E$5:$E$300</definedName>
    <definedName name="室外機冷房能力">資料庫!$N$5:$N$300</definedName>
    <definedName name="室外機型號">資料庫!$M$5:$M$300</definedName>
    <definedName name="室外機能力">資料庫!$N$5:$N$300</definedName>
    <definedName name="室外機電源">資料庫!$Q$5:$Q$300</definedName>
    <definedName name="室外機標稱能力">資料庫!$O$5:$O$300</definedName>
    <definedName name="商用能力">[1]不要刪!$F$2:$F$5</definedName>
    <definedName name="商用機型">[1]不要刪!$E$2:$E$5</definedName>
    <definedName name="電源資料庫">#REF!</definedName>
    <definedName name="額定能力">[3]不要刪!$B$2:$B$14</definedName>
    <definedName name="VRV機型" localSheetId="0">[2]不要刪!$A$2:$A$14</definedName>
    <definedName name="電源資料庫" localSheetId="0">選機!#REF!</definedName>
    <definedName name="_xlnm.Print_Titles" localSheetId="0">'選機'!$1:$8</definedName>
    <definedName name="_xlnm.Print_Area" localSheetId="0">'選機'!$A$1:$BF$58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.0_);[Red]\(0.0\)"/>
    <numFmt numFmtId="165" formatCode="_-* #,##0.00_-;\-* #,##0.00_-;_-* &quot;-&quot;??_-;_-@_-"/>
    <numFmt numFmtId="166" formatCode="0.0_ "/>
    <numFmt numFmtId="167" formatCode="0.000"/>
    <numFmt numFmtId="168" formatCode="#,##0.00_);[Red]\(#,##0.00\)"/>
    <numFmt numFmtId="169" formatCode="0_);[Red]\(0\)"/>
    <numFmt numFmtId="170" formatCode="0_ "/>
    <numFmt numFmtId="171" formatCode="&quot;FXDQ-&quot;General"/>
    <numFmt numFmtId="172" formatCode="#,##0_);[Red]\(#,##0\)"/>
    <numFmt numFmtId="173" formatCode="0.000_);[Red]\(0.000\)"/>
    <numFmt numFmtId="174" formatCode="0.0"/>
    <numFmt numFmtId="175" formatCode="#,##0.0_);[Red]\(#,##0.0\)"/>
    <numFmt numFmtId="176" formatCode="0.00_);[Red]\(0.00\)"/>
    <numFmt numFmtId="177" formatCode="&quot;VAM-&quot;General"/>
    <numFmt numFmtId="178" formatCode="&quot;HT0&quot;General"/>
    <numFmt numFmtId="179" formatCode="&quot;製表日期：&quot;yyyy&quot;年&quot;m&quot;月&quot;d&quot;日&quot;"/>
    <numFmt numFmtId="180" formatCode="#,##0.00_ "/>
  </numFmts>
  <fonts count="40"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2"/>
      <sz val="9"/>
      <scheme val="minor"/>
    </font>
    <font>
      <name val="Arial"/>
      <family val="2"/>
      <sz val="12"/>
    </font>
    <font>
      <name val="細明體"/>
      <charset val="136"/>
      <family val="3"/>
      <sz val="9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Arial"/>
      <family val="2"/>
      <color theme="1"/>
      <sz val="12"/>
    </font>
    <font>
      <name val="Times New Roman"/>
      <family val="1"/>
      <sz val="12"/>
    </font>
    <font>
      <name val="標楷體"/>
      <charset val="136"/>
      <family val="4"/>
      <sz val="20"/>
    </font>
    <font>
      <name val="標楷體"/>
      <charset val="136"/>
      <family val="4"/>
      <sz val="16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1"/>
      <sz val="12"/>
      <scheme val="major"/>
    </font>
    <font>
      <name val="新細明體"/>
      <charset val="136"/>
      <family val="3"/>
      <sz val="9"/>
      <scheme val="minor"/>
    </font>
    <font>
      <name val="新細明體"/>
      <charset val="136"/>
      <family val="1"/>
      <color theme="1"/>
      <sz val="11"/>
      <scheme val="maj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color theme="1"/>
      <sz val="12"/>
      <vertAlign val="superscript"/>
      <scheme val="major"/>
    </font>
    <font>
      <name val="新細明體"/>
      <charset val="136"/>
      <family val="1"/>
      <color rgb="FF9C6500"/>
      <sz val="12"/>
      <scheme val="major"/>
    </font>
    <font>
      <name val="新細明體"/>
      <charset val="136"/>
      <family val="1"/>
      <color rgb="FFFF0000"/>
      <sz val="12"/>
      <scheme val="major"/>
    </font>
    <font>
      <name val="新細明體"/>
      <charset val="136"/>
      <family val="1"/>
      <color rgb="FF006100"/>
      <sz val="12"/>
      <scheme val="major"/>
    </font>
    <font>
      <name val="標楷體"/>
      <charset val="136"/>
      <family val="4"/>
      <sz val="10"/>
    </font>
    <font>
      <name val="Arial"/>
      <family val="2"/>
      <sz val="10"/>
    </font>
    <font>
      <name val="標楷體"/>
      <charset val="136"/>
      <family val="4"/>
      <sz val="11"/>
    </font>
    <font>
      <name val="Arial"/>
      <family val="2"/>
      <sz val="11"/>
    </font>
    <font>
      <name val="Arial"/>
      <charset val="136"/>
      <family val="4"/>
      <sz val="12"/>
    </font>
    <font>
      <name val="Arial"/>
      <family val="4"/>
      <sz val="12"/>
    </font>
    <font>
      <name val="Segoe UI Symbol"/>
      <family val="4"/>
      <sz val="12"/>
    </font>
    <font>
      <name val="Segoe UI Symbol"/>
      <family val="2"/>
      <sz val="12"/>
    </font>
    <font>
      <name val="標楷體"/>
      <charset val="136"/>
      <family val="2"/>
      <sz val="12"/>
    </font>
    <font>
      <name val="Microsoft JhengHei UI"/>
      <charset val="136"/>
      <family val="2"/>
      <sz val="12"/>
    </font>
    <font>
      <name val="Microsoft JhengHei"/>
      <family val="4"/>
      <sz val="12"/>
    </font>
    <font>
      <name val="Microsoft JhengHei"/>
      <family val="2"/>
      <sz val="12"/>
    </font>
    <font>
      <name val="細明體"/>
      <charset val="136"/>
      <family val="2"/>
      <sz val="12"/>
    </font>
    <font>
      <name val="微軟正黑體"/>
      <b val="1"/>
      <color rgb="000F172A"/>
      <sz val="14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0"/>
    </font>
    <font>
      <name val="微軟正黑體"/>
      <b val="1"/>
      <color rgb="000F172A"/>
      <sz val="11"/>
    </font>
    <font>
      <name val="微軟正黑體"/>
      <b val="1"/>
      <color rgb="000284C7"/>
      <sz val="11"/>
    </font>
  </fonts>
  <fills count="16">
    <fill>
      <patternFill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475569"/>
      </top>
      <bottom style="double">
        <color rgb="000F172A"/>
      </bottom>
    </border>
  </borders>
  <cellStyleXfs count="5">
    <xf numFmtId="0" fontId="0" fillId="0" borderId="0" applyAlignment="1">
      <alignment vertical="center"/>
    </xf>
    <xf numFmtId="0" fontId="1" fillId="0" borderId="0" applyAlignment="1">
      <alignment vertical="center"/>
    </xf>
    <xf numFmtId="43" fontId="1" fillId="0" borderId="0" applyAlignment="1">
      <alignment vertical="center"/>
    </xf>
    <xf numFmtId="0" fontId="11" fillId="6" borderId="0" applyAlignment="1">
      <alignment vertical="center"/>
    </xf>
    <xf numFmtId="0" fontId="12" fillId="7" borderId="0" applyAlignment="1">
      <alignment vertical="center"/>
    </xf>
  </cellStyleXfs>
  <cellXfs count="23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8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8" fillId="0" borderId="0" applyAlignment="1" pivotButton="0" quotePrefix="0" xfId="2">
      <alignment horizontal="center"/>
    </xf>
    <xf numFmtId="9" fontId="8" fillId="0" borderId="0" applyAlignment="1" pivotButton="0" quotePrefix="0" xfId="2">
      <alignment horizontal="center"/>
    </xf>
    <xf numFmtId="165" fontId="6" fillId="0" borderId="4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8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165" fontId="8" fillId="0" borderId="0" applyAlignment="1" pivotButton="0" quotePrefix="0" xfId="2">
      <alignment horizontal="center"/>
    </xf>
    <xf numFmtId="0" fontId="8" fillId="0" borderId="0" applyAlignment="1" pivotButton="0" quotePrefix="0" xfId="2">
      <alignment horizontal="center"/>
    </xf>
    <xf numFmtId="164" fontId="3" fillId="0" borderId="0" applyAlignment="1" pivotButton="0" quotePrefix="0" xfId="1">
      <alignment horizontal="center" vertical="center"/>
    </xf>
    <xf numFmtId="9" fontId="8" fillId="0" borderId="0" applyAlignment="1" pivotButton="0" quotePrefix="0" xfId="2">
      <alignment horizontal="center"/>
    </xf>
    <xf numFmtId="0" fontId="10" fillId="0" borderId="0" applyAlignment="1" pivotButton="0" quotePrefix="0" xfId="1">
      <alignment horizontal="center" vertical="center"/>
    </xf>
    <xf numFmtId="0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3" fillId="6" borderId="0" applyAlignment="1" pivotButton="0" quotePrefix="0" xfId="3">
      <alignment horizontal="center" vertical="center"/>
    </xf>
    <xf numFmtId="0" fontId="16" fillId="0" borderId="5" applyAlignment="1" pivotButton="0" quotePrefix="0" xfId="1">
      <alignment horizontal="center" vertical="center"/>
    </xf>
    <xf numFmtId="166" fontId="16" fillId="0" borderId="5" applyAlignment="1" pivotButton="0" quotePrefix="0" xfId="1">
      <alignment horizontal="center" vertical="center" wrapText="1"/>
    </xf>
    <xf numFmtId="166" fontId="16" fillId="0" borderId="5" applyAlignment="1" pivotButton="0" quotePrefix="0" xfId="1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5" applyAlignment="1" pivotButton="0" quotePrefix="0" xfId="1">
      <alignment horizontal="center" vertical="center" wrapText="1"/>
    </xf>
    <xf numFmtId="0" fontId="16" fillId="0" borderId="10" applyAlignment="1" pivotButton="0" quotePrefix="0" xfId="1">
      <alignment horizontal="center" vertical="center"/>
    </xf>
    <xf numFmtId="166" fontId="16" fillId="0" borderId="10" applyAlignment="1" pivotButton="0" quotePrefix="0" xfId="1">
      <alignment horizontal="center" vertical="center" wrapText="1"/>
    </xf>
    <xf numFmtId="0" fontId="16" fillId="0" borderId="10" applyAlignment="1" pivotButton="0" quotePrefix="0" xfId="0">
      <alignment horizontal="center" vertical="center"/>
    </xf>
    <xf numFmtId="0" fontId="16" fillId="0" borderId="10" applyAlignment="1" pivotButton="0" quotePrefix="0" xfId="1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0" pivotButton="0" quotePrefix="0" xfId="0"/>
    <xf numFmtId="0" fontId="16" fillId="0" borderId="8" applyAlignment="1" pivotButton="0" quotePrefix="0" xfId="0">
      <alignment horizontal="center" vertical="center"/>
    </xf>
    <xf numFmtId="0" fontId="13" fillId="8" borderId="7" applyAlignment="1" pivotButton="0" quotePrefix="0" xfId="3">
      <alignment vertical="center"/>
    </xf>
    <xf numFmtId="0" fontId="13" fillId="8" borderId="9" applyAlignment="1" pivotButton="0" quotePrefix="0" xfId="3">
      <alignment vertical="center"/>
    </xf>
    <xf numFmtId="0" fontId="13" fillId="8" borderId="8" applyAlignment="1" pivotButton="0" quotePrefix="0" xfId="3">
      <alignment vertical="center"/>
    </xf>
    <xf numFmtId="0" fontId="16" fillId="0" borderId="0" applyAlignment="1" pivotButton="0" quotePrefix="0" xfId="1">
      <alignment horizontal="center" vertical="center"/>
    </xf>
    <xf numFmtId="167" fontId="16" fillId="0" borderId="5" applyAlignment="1" pivotButton="0" quotePrefix="0" xfId="0">
      <alignment horizontal="center" vertical="center"/>
    </xf>
    <xf numFmtId="0" fontId="18" fillId="7" borderId="5" applyAlignment="1" pivotButton="0" quotePrefix="0" xfId="4">
      <alignment horizontal="center" vertical="center"/>
    </xf>
    <xf numFmtId="0" fontId="13" fillId="7" borderId="5" applyAlignment="1" pivotButton="0" quotePrefix="0" xfId="4">
      <alignment horizontal="center" vertical="center"/>
    </xf>
    <xf numFmtId="166" fontId="16" fillId="0" borderId="0" applyAlignment="1" pivotButton="0" quotePrefix="0" xfId="1">
      <alignment horizontal="center" vertical="center"/>
    </xf>
    <xf numFmtId="0" fontId="15" fillId="0" borderId="5" pivotButton="0" quotePrefix="0" xfId="0"/>
    <xf numFmtId="0" fontId="16" fillId="0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20" fillId="6" borderId="7" applyAlignment="1" pivotButton="0" quotePrefix="0" xfId="3">
      <alignment horizontal="center" vertical="center"/>
    </xf>
    <xf numFmtId="0" fontId="16" fillId="0" borderId="3" applyAlignment="1" pivotButton="0" quotePrefix="0" xfId="1">
      <alignment horizontal="center" vertical="center"/>
    </xf>
    <xf numFmtId="0" fontId="16" fillId="0" borderId="4" applyAlignment="1" pivotButton="0" quotePrefix="0" xfId="1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20" fillId="6" borderId="5" applyAlignment="1" pivotButton="0" quotePrefix="0" xfId="3">
      <alignment horizontal="center" vertical="center"/>
    </xf>
    <xf numFmtId="0" fontId="0" fillId="0" borderId="0" pivotButton="0" quotePrefix="0" xfId="0"/>
    <xf numFmtId="0" fontId="3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Continuous" vertical="center"/>
    </xf>
    <xf numFmtId="0" fontId="10" fillId="0" borderId="0" applyAlignment="1" pivotButton="0" quotePrefix="0" xfId="1">
      <alignment horizontal="centerContinuous" vertical="center"/>
    </xf>
    <xf numFmtId="0" fontId="21" fillId="0" borderId="2" applyAlignment="1" pivotButton="0" quotePrefix="0" xfId="1">
      <alignment horizontal="left" vertical="center"/>
    </xf>
    <xf numFmtId="0" fontId="21" fillId="0" borderId="0" applyAlignment="1" pivotButton="0" quotePrefix="0" xfId="1">
      <alignment horizontal="left" vertical="center"/>
    </xf>
    <xf numFmtId="0" fontId="22" fillId="0" borderId="0" applyAlignment="1" pivotButton="0" quotePrefix="0" xfId="1">
      <alignment horizontal="left" vertical="center" wrapText="1"/>
    </xf>
    <xf numFmtId="0" fontId="22" fillId="0" borderId="0" applyAlignment="1" pivotButton="0" quotePrefix="0" xfId="1">
      <alignment horizontal="left" vertical="center"/>
    </xf>
    <xf numFmtId="0" fontId="6" fillId="0" borderId="4" applyAlignment="1" pivotButton="0" quotePrefix="0" xfId="1">
      <alignment horizontal="left" vertical="center"/>
    </xf>
    <xf numFmtId="0" fontId="6" fillId="0" borderId="4" applyAlignment="1" pivotButton="0" quotePrefix="0" xfId="2">
      <alignment horizontal="center" vertical="center"/>
    </xf>
    <xf numFmtId="9" fontId="6" fillId="0" borderId="4" applyAlignment="1" pivotButton="0" quotePrefix="0" xfId="2">
      <alignment horizontal="center" vertical="center"/>
    </xf>
    <xf numFmtId="168" fontId="6" fillId="0" borderId="4" applyAlignment="1" pivotButton="0" quotePrefix="0" xfId="1">
      <alignment horizontal="right" vertical="center"/>
    </xf>
    <xf numFmtId="0" fontId="3" fillId="2" borderId="5" applyAlignment="1" pivotButton="0" quotePrefix="0" xfId="1">
      <alignment horizontal="center" vertical="center"/>
    </xf>
    <xf numFmtId="164" fontId="3" fillId="2" borderId="5" applyAlignment="1" pivotButton="0" quotePrefix="0" xfId="2">
      <alignment horizontal="center" vertical="center"/>
    </xf>
    <xf numFmtId="0" fontId="6" fillId="2" borderId="5" applyAlignment="1" pivotButton="0" quotePrefix="0" xfId="1">
      <alignment horizontal="center" vertical="center" wrapText="1"/>
    </xf>
    <xf numFmtId="164" fontId="3" fillId="2" borderId="7" applyAlignment="1" pivotButton="0" quotePrefix="0" xfId="2">
      <alignment horizontal="center" vertical="center"/>
    </xf>
    <xf numFmtId="169" fontId="3" fillId="2" borderId="7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 wrapText="1"/>
    </xf>
    <xf numFmtId="0" fontId="6" fillId="3" borderId="5" applyAlignment="1" pivotButton="0" quotePrefix="0" xfId="1">
      <alignment horizontal="center" vertical="center" wrapText="1"/>
    </xf>
    <xf numFmtId="0" fontId="3" fillId="3" borderId="7" applyAlignment="1" pivotButton="0" quotePrefix="0" xfId="1">
      <alignment horizontal="center" vertical="center" wrapText="1"/>
    </xf>
    <xf numFmtId="0" fontId="25" fillId="3" borderId="7" applyAlignment="1" pivotButton="0" quotePrefix="0" xfId="1">
      <alignment horizontal="center" vertical="center" wrapText="1"/>
    </xf>
    <xf numFmtId="0" fontId="3" fillId="2" borderId="8" applyAlignment="1" pivotButton="0" quotePrefix="0" xfId="1">
      <alignment horizontal="center" vertical="center" wrapText="1"/>
    </xf>
    <xf numFmtId="0" fontId="3" fillId="3" borderId="5" applyAlignment="1" pivotButton="0" quotePrefix="0" xfId="1">
      <alignment horizontal="center" vertical="center"/>
    </xf>
    <xf numFmtId="9" fontId="6" fillId="2" borderId="5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 wrapText="1"/>
    </xf>
    <xf numFmtId="9" fontId="3" fillId="2" borderId="5" applyAlignment="1" pivotButton="0" quotePrefix="0" xfId="1">
      <alignment horizontal="center" vertical="center" wrapText="1"/>
    </xf>
    <xf numFmtId="165" fontId="6" fillId="2" borderId="5" applyAlignment="1" pivotButton="0" quotePrefix="0" xfId="2">
      <alignment horizontal="center" vertical="center"/>
    </xf>
    <xf numFmtId="165" fontId="6" fillId="9" borderId="5" applyAlignment="1" pivotButton="0" quotePrefix="0" xfId="2">
      <alignment horizontal="center" vertical="center" wrapText="1"/>
    </xf>
    <xf numFmtId="0" fontId="3" fillId="9" borderId="5" applyAlignment="1" pivotButton="0" quotePrefix="0" xfId="1">
      <alignment horizontal="center" vertical="center" wrapText="1"/>
    </xf>
    <xf numFmtId="0" fontId="6" fillId="9" borderId="5" applyAlignment="1" pivotButton="0" quotePrefix="0" xfId="1">
      <alignment horizontal="center" vertical="center" wrapText="1"/>
    </xf>
    <xf numFmtId="9" fontId="6" fillId="9" borderId="5" applyAlignment="1" pivotButton="0" quotePrefix="0" xfId="1">
      <alignment horizontal="center" vertical="center" wrapText="1"/>
    </xf>
    <xf numFmtId="165" fontId="6" fillId="9" borderId="5" applyAlignment="1" pivotButton="0" quotePrefix="0" xfId="2">
      <alignment horizontal="center" vertical="center"/>
    </xf>
    <xf numFmtId="0" fontId="3" fillId="9" borderId="7" applyAlignment="1" pivotButton="0" quotePrefix="0" xfId="1">
      <alignment horizontal="center" vertical="center" wrapText="1"/>
    </xf>
    <xf numFmtId="0" fontId="3" fillId="4" borderId="7" applyAlignment="1" pivotButton="0" quotePrefix="0" xfId="1">
      <alignment horizontal="center" vertical="center"/>
    </xf>
    <xf numFmtId="0" fontId="6" fillId="4" borderId="5" applyAlignment="1" pivotButton="0" quotePrefix="0" xfId="1">
      <alignment horizontal="center" vertical="center" wrapText="1"/>
    </xf>
    <xf numFmtId="0" fontId="3" fillId="4" borderId="7" applyAlignment="1" pivotButton="0" quotePrefix="0" xfId="1">
      <alignment horizontal="center" vertical="center" wrapText="1"/>
    </xf>
    <xf numFmtId="0" fontId="3" fillId="0" borderId="5" applyAlignment="1" pivotButton="0" quotePrefix="0" xfId="1">
      <alignment horizontal="center" vertical="center" wrapText="1"/>
    </xf>
    <xf numFmtId="0" fontId="24" fillId="0" borderId="5" applyAlignment="1" pivotButton="0" quotePrefix="0" xfId="1">
      <alignment horizontal="center" vertical="center" wrapText="1"/>
    </xf>
    <xf numFmtId="0" fontId="24" fillId="0" borderId="5" applyAlignment="1" pivotButton="0" quotePrefix="0" xfId="1">
      <alignment vertical="center" wrapText="1"/>
    </xf>
    <xf numFmtId="0" fontId="30" fillId="0" borderId="5" applyAlignment="1" pivotButton="0" quotePrefix="0" xfId="1">
      <alignment horizontal="center" vertical="center" wrapText="1"/>
    </xf>
    <xf numFmtId="0" fontId="3" fillId="10" borderId="5" applyAlignment="1" pivotButton="0" quotePrefix="0" xfId="1">
      <alignment horizontal="center" vertical="center" wrapText="1"/>
    </xf>
    <xf numFmtId="166" fontId="3" fillId="0" borderId="5" applyAlignment="1" pivotButton="0" quotePrefix="0" xfId="1">
      <alignment horizontal="center" vertical="center" wrapText="1"/>
    </xf>
    <xf numFmtId="170" fontId="7" fillId="11" borderId="5" applyAlignment="1" pivotButton="0" quotePrefix="0" xfId="1">
      <alignment horizontal="center" vertical="center" wrapText="1"/>
    </xf>
    <xf numFmtId="1" fontId="3" fillId="0" borderId="5" applyAlignment="1" pivotButton="0" quotePrefix="0" xfId="1">
      <alignment horizontal="center" vertical="center" wrapText="1"/>
    </xf>
    <xf numFmtId="171" fontId="3" fillId="11" borderId="5" applyAlignment="1" pivotButton="0" quotePrefix="0" xfId="1">
      <alignment horizontal="center" vertical="center"/>
    </xf>
    <xf numFmtId="169" fontId="3" fillId="11" borderId="5" applyAlignment="1" pivotButton="0" quotePrefix="0" xfId="2">
      <alignment horizontal="center" vertical="center"/>
    </xf>
    <xf numFmtId="172" fontId="3" fillId="0" borderId="5" applyAlignment="1" pivotButton="0" quotePrefix="0" xfId="2">
      <alignment horizontal="center" vertical="center"/>
    </xf>
    <xf numFmtId="164" fontId="3" fillId="0" borderId="5" applyAlignment="1" pivotButton="0" quotePrefix="0" xfId="2">
      <alignment horizontal="center" vertical="center"/>
    </xf>
    <xf numFmtId="0" fontId="3" fillId="0" borderId="5" applyAlignment="1" pivotButton="0" quotePrefix="0" xfId="2">
      <alignment horizontal="center" vertical="center"/>
    </xf>
    <xf numFmtId="169" fontId="3" fillId="0" borderId="5" applyAlignment="1" pivotButton="0" quotePrefix="0" xfId="2">
      <alignment horizontal="center" vertical="center"/>
    </xf>
    <xf numFmtId="173" fontId="3" fillId="0" borderId="5" applyAlignment="1" pivotButton="0" quotePrefix="0" xfId="2">
      <alignment horizontal="center" vertical="center"/>
    </xf>
    <xf numFmtId="174" fontId="3" fillId="0" borderId="5" applyAlignment="1" pivotButton="0" quotePrefix="0" xfId="2">
      <alignment horizontal="center" vertical="center"/>
    </xf>
    <xf numFmtId="172" fontId="3" fillId="0" borderId="5" applyAlignment="1" pivotButton="0" quotePrefix="0" xfId="1">
      <alignment horizontal="center" vertical="center"/>
    </xf>
    <xf numFmtId="175" fontId="3" fillId="0" borderId="5" applyAlignment="1" pivotButton="0" quotePrefix="0" xfId="1">
      <alignment horizontal="center" vertical="center"/>
    </xf>
    <xf numFmtId="171" fontId="3" fillId="11" borderId="6" applyAlignment="1" pivotButton="0" quotePrefix="0" xfId="1">
      <alignment horizontal="center" vertical="center"/>
    </xf>
    <xf numFmtId="0" fontId="3" fillId="11" borderId="6" applyAlignment="1" pivotButton="0" quotePrefix="0" xfId="1">
      <alignment horizontal="center" vertical="center" wrapText="1"/>
    </xf>
    <xf numFmtId="172" fontId="3" fillId="0" borderId="6" applyAlignment="1" pivotButton="0" quotePrefix="0" xfId="2">
      <alignment horizontal="center" vertical="center"/>
    </xf>
    <xf numFmtId="164" fontId="3" fillId="0" borderId="6" applyAlignment="1" pivotButton="0" quotePrefix="0" xfId="2">
      <alignment horizontal="center" vertical="center"/>
    </xf>
    <xf numFmtId="9" fontId="3" fillId="0" borderId="5" applyAlignment="1" pivotButton="0" quotePrefix="0" xfId="1">
      <alignment horizontal="center" vertical="center" wrapText="1"/>
    </xf>
    <xf numFmtId="176" fontId="3" fillId="0" borderId="5" applyAlignment="1" pivotButton="0" quotePrefix="0" xfId="2">
      <alignment horizontal="center" vertical="center"/>
    </xf>
    <xf numFmtId="177" fontId="3" fillId="11" borderId="5" applyAlignment="1" pivotButton="0" quotePrefix="0" xfId="1">
      <alignment horizontal="center" vertical="center" wrapText="1"/>
    </xf>
    <xf numFmtId="0" fontId="3" fillId="11" borderId="5" applyAlignment="1" pivotButton="0" quotePrefix="0" xfId="1">
      <alignment horizontal="center" vertical="center" wrapText="1"/>
    </xf>
    <xf numFmtId="178" fontId="3" fillId="11" borderId="5" applyAlignment="1" pivotButton="0" quotePrefix="0" xfId="1">
      <alignment horizontal="center" vertical="center" wrapText="1"/>
    </xf>
    <xf numFmtId="0" fontId="31" fillId="0" borderId="5" applyAlignment="1" pivotButton="0" quotePrefix="0" xfId="1">
      <alignment horizontal="center" vertical="center" wrapText="1"/>
    </xf>
    <xf numFmtId="170" fontId="3" fillId="11" borderId="5" applyAlignment="1" pivotButton="0" quotePrefix="0" xfId="1">
      <alignment horizontal="center" vertical="center" wrapText="1"/>
    </xf>
    <xf numFmtId="0" fontId="3" fillId="11" borderId="5" applyAlignment="1" pivotButton="0" quotePrefix="0" xfId="1">
      <alignment vertical="center" wrapText="1"/>
    </xf>
    <xf numFmtId="0" fontId="32" fillId="0" borderId="5" applyAlignment="1" pivotButton="0" quotePrefix="0" xfId="1">
      <alignment horizontal="center" vertical="center" wrapText="1"/>
    </xf>
    <xf numFmtId="171" fontId="3" fillId="11" borderId="5" applyAlignment="1" pivotButton="0" quotePrefix="0" xfId="1">
      <alignment horizontal="center" vertical="center"/>
    </xf>
    <xf numFmtId="172" fontId="3" fillId="0" borderId="5" applyAlignment="1" pivotButton="0" quotePrefix="0" xfId="2">
      <alignment horizontal="center" vertical="center"/>
    </xf>
    <xf numFmtId="164" fontId="3" fillId="0" borderId="5" applyAlignment="1" pivotButton="0" quotePrefix="0" xfId="2">
      <alignment horizontal="center" vertical="center"/>
    </xf>
    <xf numFmtId="171" fontId="3" fillId="11" borderId="6" applyAlignment="1" pivotButton="0" quotePrefix="0" xfId="1">
      <alignment horizontal="center" vertical="center"/>
    </xf>
    <xf numFmtId="172" fontId="3" fillId="0" borderId="6" applyAlignment="1" pivotButton="0" quotePrefix="0" xfId="2">
      <alignment horizontal="center" vertical="center"/>
    </xf>
    <xf numFmtId="164" fontId="3" fillId="0" borderId="6" applyAlignment="1" pivotButton="0" quotePrefix="0" xfId="2">
      <alignment horizontal="center" vertical="center"/>
    </xf>
    <xf numFmtId="171" fontId="3" fillId="11" borderId="5" applyAlignment="1" pivotButton="0" quotePrefix="0" xfId="1">
      <alignment vertical="center"/>
    </xf>
    <xf numFmtId="164" fontId="3" fillId="0" borderId="5" applyAlignment="1" pivotButton="0" quotePrefix="0" xfId="2">
      <alignment vertical="center"/>
    </xf>
    <xf numFmtId="0" fontId="6" fillId="9" borderId="7" applyAlignment="1" pivotButton="0" quotePrefix="0" xfId="1">
      <alignment horizontal="center" vertical="center"/>
    </xf>
    <xf numFmtId="0" fontId="3" fillId="9" borderId="9" applyAlignment="1" pivotButton="0" quotePrefix="0" xfId="1">
      <alignment horizontal="center" vertical="center"/>
    </xf>
    <xf numFmtId="0" fontId="3" fillId="9" borderId="8" applyAlignment="1" pivotButton="0" quotePrefix="0" xfId="1">
      <alignment horizontal="center" vertical="center"/>
    </xf>
    <xf numFmtId="0" fontId="3" fillId="4" borderId="7" applyAlignment="1" pivotButton="0" quotePrefix="0" xfId="1">
      <alignment horizontal="center" vertical="center"/>
    </xf>
    <xf numFmtId="0" fontId="3" fillId="4" borderId="9" applyAlignment="1" pivotButton="0" quotePrefix="0" xfId="1">
      <alignment horizontal="center" vertical="center"/>
    </xf>
    <xf numFmtId="0" fontId="3" fillId="4" borderId="8" applyAlignment="1" pivotButton="0" quotePrefix="0" xfId="1">
      <alignment horizontal="center" vertical="center"/>
    </xf>
    <xf numFmtId="0" fontId="3" fillId="2" borderId="5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/>
    </xf>
    <xf numFmtId="0" fontId="24" fillId="0" borderId="7" applyAlignment="1" pivotButton="0" quotePrefix="0" xfId="1">
      <alignment horizontal="center" vertical="center" wrapText="1"/>
    </xf>
    <xf numFmtId="0" fontId="24" fillId="0" borderId="9" applyAlignment="1" pivotButton="0" quotePrefix="0" xfId="1">
      <alignment horizontal="center" vertical="center" wrapText="1"/>
    </xf>
    <xf numFmtId="0" fontId="24" fillId="0" borderId="8" applyAlignment="1" pivotButton="0" quotePrefix="0" xfId="1">
      <alignment horizontal="center" vertical="center" wrapText="1"/>
    </xf>
    <xf numFmtId="165" fontId="6" fillId="2" borderId="6" applyAlignment="1" pivotButton="0" quotePrefix="0" xfId="2">
      <alignment horizontal="center" vertical="center"/>
    </xf>
    <xf numFmtId="165" fontId="3" fillId="2" borderId="10" applyAlignment="1" pivotButton="0" quotePrefix="0" xfId="2">
      <alignment horizontal="center" vertical="center"/>
    </xf>
    <xf numFmtId="164" fontId="3" fillId="2" borderId="5" applyAlignment="1" pivotButton="0" quotePrefix="0" xfId="2">
      <alignment horizontal="center" vertical="center"/>
    </xf>
    <xf numFmtId="0" fontId="6" fillId="3" borderId="7" applyAlignment="1" pivotButton="0" quotePrefix="0" xfId="1">
      <alignment horizontal="center" vertical="center" wrapText="1"/>
    </xf>
    <xf numFmtId="0" fontId="3" fillId="3" borderId="9" applyAlignment="1" pivotButton="0" quotePrefix="0" xfId="1">
      <alignment horizontal="center" vertical="center" wrapText="1"/>
    </xf>
    <xf numFmtId="0" fontId="3" fillId="3" borderId="8" applyAlignment="1" pivotButton="0" quotePrefix="0" xfId="1">
      <alignment horizontal="center" vertical="center" wrapText="1"/>
    </xf>
    <xf numFmtId="0" fontId="3" fillId="3" borderId="7" applyAlignment="1" pivotButton="0" quotePrefix="0" xfId="1">
      <alignment horizontal="center" vertical="center" wrapText="1"/>
    </xf>
    <xf numFmtId="0" fontId="25" fillId="2" borderId="6" applyAlignment="1" pivotButton="0" quotePrefix="0" xfId="1">
      <alignment horizontal="center" vertical="center" wrapText="1"/>
    </xf>
    <xf numFmtId="0" fontId="3" fillId="2" borderId="10" applyAlignment="1" pivotButton="0" quotePrefix="0" xfId="1">
      <alignment horizontal="center" vertical="center"/>
    </xf>
    <xf numFmtId="169" fontId="6" fillId="2" borderId="5" applyAlignment="1" pivotButton="0" quotePrefix="0" xfId="1">
      <alignment horizontal="center" vertical="center" wrapText="1"/>
    </xf>
    <xf numFmtId="169" fontId="3" fillId="2" borderId="5" applyAlignment="1" pivotButton="0" quotePrefix="0" xfId="1">
      <alignment horizontal="center" vertical="center" wrapText="1"/>
    </xf>
    <xf numFmtId="179" fontId="21" fillId="0" borderId="3" applyAlignment="1" pivotButton="0" quotePrefix="0" xfId="1">
      <alignment horizontal="left" vertical="center"/>
    </xf>
    <xf numFmtId="179" fontId="21" fillId="0" borderId="4" applyAlignment="1" pivotButton="0" quotePrefix="0" xfId="1">
      <alignment horizontal="left" vertical="center"/>
    </xf>
    <xf numFmtId="0" fontId="6" fillId="2" borderId="5" applyAlignment="1" pivotButton="0" quotePrefix="0" xfId="1">
      <alignment horizontal="center" vertical="center" wrapText="1"/>
    </xf>
    <xf numFmtId="0" fontId="23" fillId="2" borderId="6" applyAlignment="1" pivotButton="0" quotePrefix="0" xfId="1">
      <alignment horizontal="center" vertical="center" wrapText="1"/>
    </xf>
    <xf numFmtId="0" fontId="24" fillId="2" borderId="11" applyAlignment="1" pivotButton="0" quotePrefix="0" xfId="1">
      <alignment horizontal="center" vertical="center" wrapText="1"/>
    </xf>
    <xf numFmtId="0" fontId="24" fillId="2" borderId="6" applyAlignment="1" pivotButton="0" quotePrefix="0" xfId="1">
      <alignment horizontal="center" vertical="center" wrapText="1"/>
    </xf>
    <xf numFmtId="0" fontId="13" fillId="7" borderId="2" applyAlignment="1" pivotButton="0" quotePrefix="0" xfId="4">
      <alignment horizontal="center" vertical="center"/>
    </xf>
    <xf numFmtId="0" fontId="13" fillId="7" borderId="0" applyAlignment="1" pivotButton="0" quotePrefix="0" xfId="4">
      <alignment horizontal="center" vertical="center"/>
    </xf>
    <xf numFmtId="0" fontId="13" fillId="6" borderId="5" applyAlignment="1" pivotButton="0" quotePrefix="0" xfId="3">
      <alignment horizontal="center" vertical="center"/>
    </xf>
    <xf numFmtId="0" fontId="13" fillId="5" borderId="5" applyAlignment="1" pivotButton="0" quotePrefix="0" xfId="3">
      <alignment horizontal="center" vertical="center"/>
    </xf>
    <xf numFmtId="1" fontId="3" fillId="0" borderId="5" applyAlignment="1" pivotButton="0" quotePrefix="0" xfId="2">
      <alignment horizontal="center" vertical="center"/>
    </xf>
    <xf numFmtId="174" fontId="3" fillId="0" borderId="5" applyAlignment="1" pivotButton="0" quotePrefix="0" xfId="1">
      <alignment horizontal="center" vertical="center"/>
    </xf>
    <xf numFmtId="180" fontId="3" fillId="0" borderId="5" applyAlignment="1" pivotButton="0" quotePrefix="0" xfId="1">
      <alignment horizontal="center" vertical="center" wrapText="1"/>
    </xf>
    <xf numFmtId="164" fontId="8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8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164" fontId="3" fillId="0" borderId="0" applyAlignment="1" pivotButton="0" quotePrefix="0" xfId="1">
      <alignment horizontal="center" vertical="center"/>
    </xf>
    <xf numFmtId="179" fontId="21" fillId="0" borderId="3" applyAlignment="1" pivotButton="0" quotePrefix="0" xfId="1">
      <alignment horizontal="left" vertical="center"/>
    </xf>
    <xf numFmtId="0" fontId="0" fillId="0" borderId="4" pivotButton="0" quotePrefix="0" xfId="0"/>
    <xf numFmtId="165" fontId="6" fillId="0" borderId="4" applyAlignment="1" pivotButton="0" quotePrefix="0" xfId="2">
      <alignment horizontal="center" vertical="center"/>
    </xf>
    <xf numFmtId="168" fontId="6" fillId="0" borderId="4" applyAlignment="1" pivotButton="0" quotePrefix="0" xfId="1">
      <alignment horizontal="right" vertical="center"/>
    </xf>
    <xf numFmtId="164" fontId="3" fillId="2" borderId="5" applyAlignment="1" pivotButton="0" quotePrefix="0" xfId="2">
      <alignment horizontal="center" vertical="center"/>
    </xf>
    <xf numFmtId="169" fontId="6" fillId="2" borderId="5" applyAlignment="1" pivotButton="0" quotePrefix="0" xfId="1">
      <alignment horizontal="center" vertical="center" wrapText="1"/>
    </xf>
    <xf numFmtId="0" fontId="0" fillId="0" borderId="9" pivotButton="0" quotePrefix="0" xfId="0"/>
    <xf numFmtId="0" fontId="0" fillId="0" borderId="8" pivotButton="0" quotePrefix="0" xfId="0"/>
    <xf numFmtId="0" fontId="25" fillId="2" borderId="5" applyAlignment="1" pivotButton="0" quotePrefix="0" xfId="1">
      <alignment horizontal="center" vertical="center" wrapText="1"/>
    </xf>
    <xf numFmtId="165" fontId="6" fillId="2" borderId="5" applyAlignment="1" pivotButton="0" quotePrefix="0" xfId="2">
      <alignment horizontal="center" vertical="center"/>
    </xf>
    <xf numFmtId="0" fontId="6" fillId="9" borderId="5" applyAlignment="1" pivotButton="0" quotePrefix="0" xfId="1">
      <alignment horizontal="center" vertical="center"/>
    </xf>
    <xf numFmtId="0" fontId="3" fillId="4" borderId="5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3" fillId="2" borderId="7" applyAlignment="1" pivotButton="0" quotePrefix="0" xfId="2">
      <alignment horizontal="center" vertical="center"/>
    </xf>
    <xf numFmtId="169" fontId="3" fillId="2" borderId="7" applyAlignment="1" pivotButton="0" quotePrefix="0" xfId="1">
      <alignment horizontal="center" vertical="center"/>
    </xf>
    <xf numFmtId="165" fontId="6" fillId="9" borderId="5" applyAlignment="1" pivotButton="0" quotePrefix="0" xfId="2">
      <alignment horizontal="center" vertical="center" wrapText="1"/>
    </xf>
    <xf numFmtId="165" fontId="6" fillId="9" borderId="5" applyAlignment="1" pivotButton="0" quotePrefix="0" xfId="2">
      <alignment horizontal="center" vertical="center"/>
    </xf>
    <xf numFmtId="166" fontId="3" fillId="0" borderId="5" applyAlignment="1" pivotButton="0" quotePrefix="0" xfId="1">
      <alignment horizontal="center" vertical="center" wrapText="1"/>
    </xf>
    <xf numFmtId="170" fontId="7" fillId="11" borderId="5" applyAlignment="1" pivotButton="0" quotePrefix="0" xfId="1">
      <alignment horizontal="center" vertical="center" wrapText="1"/>
    </xf>
    <xf numFmtId="180" fontId="3" fillId="0" borderId="5" applyAlignment="1" pivotButton="0" quotePrefix="0" xfId="1">
      <alignment horizontal="center" vertical="center" wrapText="1"/>
    </xf>
    <xf numFmtId="2" fontId="7" fillId="11" borderId="5" applyAlignment="1" pivotButton="0" quotePrefix="0" xfId="1">
      <alignment horizontal="center" vertical="center" wrapText="1"/>
    </xf>
    <xf numFmtId="171" fontId="3" fillId="11" borderId="5" applyAlignment="1" pivotButton="0" quotePrefix="0" xfId="1">
      <alignment horizontal="center" vertical="center"/>
    </xf>
    <xf numFmtId="169" fontId="3" fillId="11" borderId="5" applyAlignment="1" pivotButton="0" quotePrefix="0" xfId="2">
      <alignment horizontal="center" vertical="center"/>
    </xf>
    <xf numFmtId="172" fontId="3" fillId="0" borderId="5" applyAlignment="1" pivotButton="0" quotePrefix="0" xfId="2">
      <alignment horizontal="center" vertical="center"/>
    </xf>
    <xf numFmtId="164" fontId="3" fillId="0" borderId="5" applyAlignment="1" pivotButton="0" quotePrefix="0" xfId="2">
      <alignment horizontal="center" vertical="center"/>
    </xf>
    <xf numFmtId="169" fontId="3" fillId="0" borderId="5" applyAlignment="1" pivotButton="0" quotePrefix="0" xfId="2">
      <alignment horizontal="center" vertical="center"/>
    </xf>
    <xf numFmtId="173" fontId="3" fillId="0" borderId="5" applyAlignment="1" pivotButton="0" quotePrefix="0" xfId="2">
      <alignment horizontal="center" vertical="center"/>
    </xf>
    <xf numFmtId="174" fontId="3" fillId="0" borderId="5" applyAlignment="1" pivotButton="0" quotePrefix="0" xfId="1">
      <alignment horizontal="center" vertical="center"/>
    </xf>
    <xf numFmtId="172" fontId="3" fillId="0" borderId="5" applyAlignment="1" pivotButton="0" quotePrefix="0" xfId="1">
      <alignment horizontal="center" vertical="center"/>
    </xf>
    <xf numFmtId="174" fontId="3" fillId="0" borderId="5" applyAlignment="1" pivotButton="0" quotePrefix="0" xfId="2">
      <alignment horizontal="center" vertical="center"/>
    </xf>
    <xf numFmtId="175" fontId="3" fillId="0" borderId="5" applyAlignment="1" pivotButton="0" quotePrefix="0" xfId="1">
      <alignment horizontal="center" vertical="center"/>
    </xf>
    <xf numFmtId="171" fontId="3" fillId="11" borderId="6" applyAlignment="1" pivotButton="0" quotePrefix="0" xfId="1">
      <alignment horizontal="center" vertical="center" wrapText="1"/>
    </xf>
    <xf numFmtId="172" fontId="3" fillId="0" borderId="6" applyAlignment="1" pivotButton="0" quotePrefix="0" xfId="2">
      <alignment horizontal="center" vertical="center" wrapText="1"/>
    </xf>
    <xf numFmtId="164" fontId="3" fillId="0" borderId="6" applyAlignment="1" pivotButton="0" quotePrefix="0" xfId="2">
      <alignment horizontal="center" vertical="center" wrapText="1"/>
    </xf>
    <xf numFmtId="169" fontId="3" fillId="0" borderId="5" applyAlignment="1" pivotButton="0" quotePrefix="0" xfId="2">
      <alignment horizontal="center" vertical="center" wrapText="1"/>
    </xf>
    <xf numFmtId="2" fontId="3" fillId="0" borderId="5" applyAlignment="1" pivotButton="0" quotePrefix="0" xfId="2">
      <alignment horizontal="center" vertical="center" wrapText="1"/>
    </xf>
    <xf numFmtId="176" fontId="3" fillId="0" borderId="5" applyAlignment="1" pivotButton="0" quotePrefix="0" xfId="2">
      <alignment horizontal="center" vertical="center" wrapText="1"/>
    </xf>
    <xf numFmtId="174" fontId="3" fillId="0" borderId="5" applyAlignment="1" pivotButton="0" quotePrefix="0" xfId="2">
      <alignment horizontal="center" vertical="center" wrapText="1"/>
    </xf>
    <xf numFmtId="164" fontId="3" fillId="0" borderId="5" applyAlignment="1" pivotButton="0" quotePrefix="0" xfId="2">
      <alignment horizontal="center" vertical="center" wrapText="1"/>
    </xf>
    <xf numFmtId="177" fontId="3" fillId="11" borderId="5" applyAlignment="1" pivotButton="0" quotePrefix="0" xfId="1">
      <alignment horizontal="center" vertical="center" wrapText="1"/>
    </xf>
    <xf numFmtId="178" fontId="3" fillId="11" borderId="5" applyAlignment="1" pivotButton="0" quotePrefix="0" xfId="1">
      <alignment horizontal="center" vertical="center" wrapText="1"/>
    </xf>
    <xf numFmtId="171" fontId="3" fillId="11" borderId="6" applyAlignment="1" pivotButton="0" quotePrefix="0" xfId="1">
      <alignment horizontal="center" vertical="center"/>
    </xf>
    <xf numFmtId="172" fontId="3" fillId="0" borderId="6" applyAlignment="1" pivotButton="0" quotePrefix="0" xfId="2">
      <alignment horizontal="center" vertical="center"/>
    </xf>
    <xf numFmtId="164" fontId="3" fillId="0" borderId="6" applyAlignment="1" pivotButton="0" quotePrefix="0" xfId="2">
      <alignment horizontal="center" vertical="center"/>
    </xf>
    <xf numFmtId="2" fontId="3" fillId="0" borderId="5" applyAlignment="1" pivotButton="0" quotePrefix="0" xfId="2">
      <alignment horizontal="center" vertical="center"/>
    </xf>
    <xf numFmtId="176" fontId="3" fillId="0" borderId="5" applyAlignment="1" pivotButton="0" quotePrefix="0" xfId="2">
      <alignment horizontal="center" vertical="center"/>
    </xf>
    <xf numFmtId="166" fontId="16" fillId="0" borderId="5" applyAlignment="1" pivotButton="0" quotePrefix="0" xfId="1">
      <alignment horizontal="center" vertical="center" wrapText="1"/>
    </xf>
    <xf numFmtId="166" fontId="16" fillId="0" borderId="5" applyAlignment="1" pivotButton="0" quotePrefix="0" xfId="1">
      <alignment horizontal="center" vertical="center"/>
    </xf>
    <xf numFmtId="166" fontId="16" fillId="0" borderId="10" applyAlignment="1" pivotButton="0" quotePrefix="0" xfId="1">
      <alignment horizontal="center" vertical="center" wrapText="1"/>
    </xf>
    <xf numFmtId="167" fontId="16" fillId="0" borderId="5" applyAlignment="1" pivotButton="0" quotePrefix="0" xfId="0">
      <alignment horizontal="center" vertical="center"/>
    </xf>
    <xf numFmtId="166" fontId="16" fillId="0" borderId="0" applyAlignment="1" pivotButton="0" quotePrefix="0" xfId="1">
      <alignment horizontal="center" vertical="center"/>
    </xf>
    <xf numFmtId="0" fontId="34" fillId="0" borderId="0" pivotButton="0" quotePrefix="0" xfId="0"/>
    <xf numFmtId="0" fontId="35" fillId="12" borderId="13" applyAlignment="1" pivotButton="0" quotePrefix="0" xfId="0">
      <alignment horizontal="center" vertical="center"/>
    </xf>
    <xf numFmtId="0" fontId="36" fillId="0" borderId="13" applyAlignment="1" pivotButton="0" quotePrefix="0" xfId="0">
      <alignment horizontal="left" vertical="center"/>
    </xf>
    <xf numFmtId="0" fontId="36" fillId="0" borderId="13" applyAlignment="1" pivotButton="0" quotePrefix="0" xfId="0">
      <alignment horizontal="center" vertical="center"/>
    </xf>
    <xf numFmtId="0" fontId="37" fillId="13" borderId="14" pivotButton="0" quotePrefix="0" xfId="0"/>
    <xf numFmtId="0" fontId="37" fillId="13" borderId="14" applyAlignment="1" pivotButton="0" quotePrefix="0" xfId="0">
      <alignment horizontal="center" vertical="center"/>
    </xf>
    <xf numFmtId="0" fontId="35" fillId="12" borderId="13" applyAlignment="1" pivotButton="0" quotePrefix="0" xfId="0">
      <alignment horizontal="left" vertical="center"/>
    </xf>
    <xf numFmtId="0" fontId="37" fillId="13" borderId="13" pivotButton="0" quotePrefix="0" xfId="0"/>
    <xf numFmtId="0" fontId="37" fillId="13" borderId="13" applyAlignment="1" pivotButton="0" quotePrefix="0" xfId="0">
      <alignment horizontal="center" vertical="center"/>
    </xf>
    <xf numFmtId="0" fontId="36" fillId="0" borderId="13" pivotButton="0" quotePrefix="0" xfId="0"/>
    <xf numFmtId="0" fontId="35" fillId="14" borderId="0" applyAlignment="1" pivotButton="0" quotePrefix="0" xfId="0">
      <alignment horizontal="center" vertical="center"/>
    </xf>
    <xf numFmtId="0" fontId="37" fillId="15" borderId="13" applyAlignment="1" pivotButton="0" quotePrefix="0" xfId="0">
      <alignment horizontal="left" vertical="center"/>
    </xf>
    <xf numFmtId="0" fontId="38" fillId="15" borderId="13" applyAlignment="1" pivotButton="0" quotePrefix="0" xfId="0">
      <alignment horizontal="center" vertical="center"/>
    </xf>
    <xf numFmtId="0" fontId="39" fillId="15" borderId="13" applyAlignment="1" pivotButton="0" quotePrefix="0" xfId="0">
      <alignment horizontal="center" vertical="center"/>
    </xf>
  </cellXfs>
  <cellStyles count="5">
    <cellStyle name="一般" xfId="0" builtinId="0"/>
    <cellStyle name="一般 2" xfId="1"/>
    <cellStyle name="千分位 2" xfId="2"/>
    <cellStyle name="好" xfId="3" builtinId="26"/>
    <cellStyle name="中等" xfId="4" builtinId="28"/>
  </cellStyles>
  <dxfs count="16">
    <dxf>
      <font>
        <color rgb="FF0066FF"/>
      </font>
    </dxf>
    <dxf>
      <font>
        <b val="1"/>
        <color rgb="FFFF0000"/>
      </font>
    </dxf>
    <dxf>
      <font>
        <color rgb="FF0066FF"/>
      </font>
    </dxf>
    <dxf>
      <font>
        <b val="1"/>
        <color rgb="FFFF0000"/>
      </font>
    </dxf>
    <dxf>
      <font>
        <color rgb="FF0066FF"/>
      </font>
    </dxf>
    <dxf>
      <font>
        <b val="1"/>
        <color rgb="FFFF0000"/>
      </font>
    </dxf>
    <dxf>
      <font>
        <color rgb="FF0066FF"/>
      </font>
    </dxf>
    <dxf>
      <font>
        <b val="1"/>
        <color rgb="FFFF0000"/>
      </font>
    </dxf>
    <dxf>
      <font>
        <color rgb="FF0066FF"/>
      </font>
    </dxf>
    <dxf>
      <font>
        <b val="1"/>
        <color rgb="FFFF0000"/>
      </font>
    </dxf>
    <dxf>
      <font>
        <color rgb="FF0066FF"/>
      </font>
    </dxf>
    <dxf>
      <font>
        <b val="1"/>
        <color rgb="FFFF0000"/>
      </font>
    </dxf>
    <dxf>
      <font>
        <color rgb="FF0066FF"/>
      </font>
    </dxf>
    <dxf>
      <font>
        <b val="1"/>
        <color rgb="FFFF0000"/>
      </font>
    </dxf>
    <dxf>
      <font>
        <color rgb="FF0066FF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3" name="Picture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" name="Picture 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" name="Picture 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" name="Picture 5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" name="Picture 6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" name="Picture 7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" name="Picture 8"/>
        <cNvPicPr>
          <a:picLocks noChangeAspect="1" noChangeArrowheads="1"/>
        </cNvPicPr>
      </nvPicPr>
      <blipFill>
        <a:blip r:embed="rId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" name="Picture 9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" name="Picture 10"/>
        <cNvPicPr>
          <a:picLocks noChangeAspect="1" noChangeArrowheads="1"/>
        </cNvPicPr>
      </nvPicPr>
      <blipFill>
        <a:blip r:embed="rId1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" name="Picture 11"/>
        <cNvPicPr>
          <a:picLocks noChangeAspect="1" noChangeArrowheads="1"/>
        </cNvPicPr>
      </nvPicPr>
      <blipFill>
        <a:blip r:embed="rId1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" name="Picture 12"/>
        <cNvPicPr>
          <a:picLocks noChangeAspect="1" noChangeArrowheads="1"/>
        </cNvPicPr>
      </nvPicPr>
      <blipFill>
        <a:blip r:embed="rId1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" name="Picture 13"/>
        <cNvPicPr>
          <a:picLocks noChangeAspect="1" noChangeArrowheads="1"/>
        </cNvPicPr>
      </nvPicPr>
      <blipFill>
        <a:blip r:embed="rId1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" name="Picture 14"/>
        <cNvPicPr>
          <a:picLocks noChangeAspect="1" noChangeArrowheads="1"/>
        </cNvPicPr>
      </nvPicPr>
      <blipFill>
        <a:blip r:embed="rId1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" name="Picture 15"/>
        <cNvPicPr>
          <a:picLocks noChangeAspect="1" noChangeArrowheads="1"/>
        </cNvPicPr>
      </nvPicPr>
      <blipFill>
        <a:blip r:embed="rId1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" name="Picture 16"/>
        <cNvPicPr>
          <a:picLocks noChangeAspect="1" noChangeArrowheads="1"/>
        </cNvPicPr>
      </nvPicPr>
      <blipFill>
        <a:blip r:embed="rId1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" name="Picture 17"/>
        <cNvPicPr>
          <a:picLocks noChangeAspect="1" noChangeArrowheads="1"/>
        </cNvPicPr>
      </nvPicPr>
      <blipFill>
        <a:blip r:embed="rId1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9" name="Picture 18"/>
        <cNvPicPr>
          <a:picLocks noChangeAspect="1" noChangeArrowheads="1"/>
        </cNvPicPr>
      </nvPicPr>
      <blipFill>
        <a:blip r:embed="rId1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0" name="Picture 19"/>
        <cNvPicPr>
          <a:picLocks noChangeAspect="1" noChangeArrowheads="1"/>
        </cNvPicPr>
      </nvPicPr>
      <blipFill>
        <a:blip r:embed="rId1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1" name="Picture 20"/>
        <cNvPicPr>
          <a:picLocks noChangeAspect="1" noChangeArrowheads="1"/>
        </cNvPicPr>
      </nvPicPr>
      <blipFill>
        <a:blip r:embed="rId2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2" name="Picture 21"/>
        <cNvPicPr>
          <a:picLocks noChangeAspect="1" noChangeArrowheads="1"/>
        </cNvPicPr>
      </nvPicPr>
      <blipFill>
        <a:blip r:embed="rId2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3" name="Picture 22"/>
        <cNvPicPr>
          <a:picLocks noChangeAspect="1" noChangeArrowheads="1"/>
        </cNvPicPr>
      </nvPicPr>
      <blipFill>
        <a:blip r:embed="rId2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4" name="Picture 23"/>
        <cNvPicPr>
          <a:picLocks noChangeAspect="1" noChangeArrowheads="1"/>
        </cNvPicPr>
      </nvPicPr>
      <blipFill>
        <a:blip r:embed="rId2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5" name="Picture 24"/>
        <cNvPicPr>
          <a:picLocks noChangeAspect="1" noChangeArrowheads="1"/>
        </cNvPicPr>
      </nvPicPr>
      <blipFill>
        <a:blip r:embed="rId2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6" name="Picture 25"/>
        <cNvPicPr>
          <a:picLocks noChangeAspect="1" noChangeArrowheads="1"/>
        </cNvPicPr>
      </nvPicPr>
      <blipFill>
        <a:blip r:embed="rId2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7" name="Picture 26"/>
        <cNvPicPr>
          <a:picLocks noChangeAspect="1" noChangeArrowheads="1"/>
        </cNvPicPr>
      </nvPicPr>
      <blipFill>
        <a:blip r:embed="rId2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8" name="Picture 27"/>
        <cNvPicPr>
          <a:picLocks noChangeAspect="1" noChangeArrowheads="1"/>
        </cNvPicPr>
      </nvPicPr>
      <blipFill>
        <a:blip r:embed="rId2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29" name="Picture 28"/>
        <cNvPicPr>
          <a:picLocks noChangeAspect="1" noChangeArrowheads="1"/>
        </cNvPicPr>
      </nvPicPr>
      <blipFill>
        <a:blip r:embed="rId2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30" name="Picture 29"/>
        <cNvPicPr>
          <a:picLocks noChangeAspect="1" noChangeArrowheads="1"/>
        </cNvPicPr>
      </nvPicPr>
      <blipFill>
        <a:blip r:embed="rId29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31" name="Picture 30"/>
        <cNvPicPr>
          <a:picLocks noChangeAspect="1" noChangeArrowheads="1"/>
        </cNvPicPr>
      </nvPicPr>
      <blipFill>
        <a:blip r:embed="rId30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32" name="Picture 31"/>
        <cNvPicPr>
          <a:picLocks noChangeAspect="1" noChangeArrowheads="1"/>
        </cNvPicPr>
      </nvPicPr>
      <blipFill>
        <a:blip r:embed="rId31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33" name="Picture 32"/>
        <cNvPicPr>
          <a:picLocks noChangeAspect="1" noChangeArrowheads="1"/>
        </cNvPicPr>
      </nvPicPr>
      <blipFill>
        <a:blip r:embed="rId32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34" name="Picture 33"/>
        <cNvPicPr>
          <a:picLocks noChangeAspect="1" noChangeArrowheads="1"/>
        </cNvPicPr>
      </nvPicPr>
      <blipFill>
        <a:blip r:embed="rId3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35" name="Picture 34"/>
        <cNvPicPr>
          <a:picLocks noChangeAspect="1" noChangeArrowheads="1"/>
        </cNvPicPr>
      </nvPicPr>
      <blipFill>
        <a:blip r:embed="rId3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36" name="Picture 35"/>
        <cNvPicPr>
          <a:picLocks noChangeAspect="1" noChangeArrowheads="1"/>
        </cNvPicPr>
      </nvPicPr>
      <blipFill>
        <a:blip r:embed="rId3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37" name="Picture 36"/>
        <cNvPicPr>
          <a:picLocks noChangeAspect="1" noChangeArrowheads="1"/>
        </cNvPicPr>
      </nvPicPr>
      <blipFill>
        <a:blip r:embed="rId3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38" name="Picture 37"/>
        <cNvPicPr>
          <a:picLocks noChangeAspect="1" noChangeArrowheads="1"/>
        </cNvPicPr>
      </nvPicPr>
      <blipFill>
        <a:blip r:embed="rId3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39" name="Picture 38"/>
        <cNvPicPr>
          <a:picLocks noChangeAspect="1" noChangeArrowheads="1"/>
        </cNvPicPr>
      </nvPicPr>
      <blipFill>
        <a:blip r:embed="rId3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0" name="Picture 39"/>
        <cNvPicPr>
          <a:picLocks noChangeAspect="1" noChangeArrowheads="1"/>
        </cNvPicPr>
      </nvPicPr>
      <blipFill>
        <a:blip r:embed="rId3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1" name="Picture 40"/>
        <cNvPicPr>
          <a:picLocks noChangeAspect="1" noChangeArrowheads="1"/>
        </cNvPicPr>
      </nvPicPr>
      <blipFill>
        <a:blip r:embed="rId4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42" name="Picture 41"/>
        <cNvPicPr>
          <a:picLocks noChangeAspect="1" noChangeArrowheads="1"/>
        </cNvPicPr>
      </nvPicPr>
      <blipFill>
        <a:blip r:embed="rId41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3" name="Picture 42"/>
        <cNvPicPr>
          <a:picLocks noChangeAspect="1" noChangeArrowheads="1"/>
        </cNvPicPr>
      </nvPicPr>
      <blipFill>
        <a:blip r:embed="rId4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4" name="Picture 43"/>
        <cNvPicPr>
          <a:picLocks noChangeAspect="1" noChangeArrowheads="1"/>
        </cNvPicPr>
      </nvPicPr>
      <blipFill>
        <a:blip r:embed="rId4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5" name="Picture 44"/>
        <cNvPicPr>
          <a:picLocks noChangeAspect="1" noChangeArrowheads="1"/>
        </cNvPicPr>
      </nvPicPr>
      <blipFill>
        <a:blip r:embed="rId4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6" name="Picture 45"/>
        <cNvPicPr>
          <a:picLocks noChangeAspect="1" noChangeArrowheads="1"/>
        </cNvPicPr>
      </nvPicPr>
      <blipFill>
        <a:blip r:embed="rId4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7" name="Picture 46"/>
        <cNvPicPr>
          <a:picLocks noChangeAspect="1" noChangeArrowheads="1"/>
        </cNvPicPr>
      </nvPicPr>
      <blipFill>
        <a:blip r:embed="rId4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8" name="Picture 47"/>
        <cNvPicPr>
          <a:picLocks noChangeAspect="1" noChangeArrowheads="1"/>
        </cNvPicPr>
      </nvPicPr>
      <blipFill>
        <a:blip r:embed="rId4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49" name="Picture 48"/>
        <cNvPicPr>
          <a:picLocks noChangeAspect="1" noChangeArrowheads="1"/>
        </cNvPicPr>
      </nvPicPr>
      <blipFill>
        <a:blip r:embed="rId4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0" name="Picture 49"/>
        <cNvPicPr>
          <a:picLocks noChangeAspect="1" noChangeArrowheads="1"/>
        </cNvPicPr>
      </nvPicPr>
      <blipFill>
        <a:blip r:embed="rId4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51" name="Picture 50"/>
        <cNvPicPr>
          <a:picLocks noChangeAspect="1" noChangeArrowheads="1"/>
        </cNvPicPr>
      </nvPicPr>
      <blipFill>
        <a:blip r:embed="rId50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2" name="Picture 51"/>
        <cNvPicPr>
          <a:picLocks noChangeAspect="1" noChangeArrowheads="1"/>
        </cNvPicPr>
      </nvPicPr>
      <blipFill>
        <a:blip r:embed="rId5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3" name="Picture 52"/>
        <cNvPicPr>
          <a:picLocks noChangeAspect="1" noChangeArrowheads="1"/>
        </cNvPicPr>
      </nvPicPr>
      <blipFill>
        <a:blip r:embed="rId5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4" name="Picture 53"/>
        <cNvPicPr>
          <a:picLocks noChangeAspect="1" noChangeArrowheads="1"/>
        </cNvPicPr>
      </nvPicPr>
      <blipFill>
        <a:blip r:embed="rId5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5" name="Picture 54"/>
        <cNvPicPr>
          <a:picLocks noChangeAspect="1" noChangeArrowheads="1"/>
        </cNvPicPr>
      </nvPicPr>
      <blipFill>
        <a:blip r:embed="rId5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6" name="Picture 55"/>
        <cNvPicPr>
          <a:picLocks noChangeAspect="1" noChangeArrowheads="1"/>
        </cNvPicPr>
      </nvPicPr>
      <blipFill>
        <a:blip r:embed="rId5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7" name="Picture 56"/>
        <cNvPicPr>
          <a:picLocks noChangeAspect="1" noChangeArrowheads="1"/>
        </cNvPicPr>
      </nvPicPr>
      <blipFill>
        <a:blip r:embed="rId5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8" name="Picture 57"/>
        <cNvPicPr>
          <a:picLocks noChangeAspect="1" noChangeArrowheads="1"/>
        </cNvPicPr>
      </nvPicPr>
      <blipFill>
        <a:blip r:embed="rId5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59" name="Picture 58"/>
        <cNvPicPr>
          <a:picLocks noChangeAspect="1" noChangeArrowheads="1"/>
        </cNvPicPr>
      </nvPicPr>
      <blipFill>
        <a:blip r:embed="rId5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60" name="Picture 59"/>
        <cNvPicPr>
          <a:picLocks noChangeAspect="1" noChangeArrowheads="1"/>
        </cNvPicPr>
      </nvPicPr>
      <blipFill>
        <a:blip r:embed="rId59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1" name="Picture 60"/>
        <cNvPicPr>
          <a:picLocks noChangeAspect="1" noChangeArrowheads="1"/>
        </cNvPicPr>
      </nvPicPr>
      <blipFill>
        <a:blip r:embed="rId6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2" name="Picture 61"/>
        <cNvPicPr>
          <a:picLocks noChangeAspect="1" noChangeArrowheads="1"/>
        </cNvPicPr>
      </nvPicPr>
      <blipFill>
        <a:blip r:embed="rId6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3" name="Picture 62"/>
        <cNvPicPr>
          <a:picLocks noChangeAspect="1" noChangeArrowheads="1"/>
        </cNvPicPr>
      </nvPicPr>
      <blipFill>
        <a:blip r:embed="rId6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4" name="Picture 63"/>
        <cNvPicPr>
          <a:picLocks noChangeAspect="1" noChangeArrowheads="1"/>
        </cNvPicPr>
      </nvPicPr>
      <blipFill>
        <a:blip r:embed="rId6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5" name="Picture 64"/>
        <cNvPicPr>
          <a:picLocks noChangeAspect="1" noChangeArrowheads="1"/>
        </cNvPicPr>
      </nvPicPr>
      <blipFill>
        <a:blip r:embed="rId6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6" name="Picture 65"/>
        <cNvPicPr>
          <a:picLocks noChangeAspect="1" noChangeArrowheads="1"/>
        </cNvPicPr>
      </nvPicPr>
      <blipFill>
        <a:blip r:embed="rId6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7" name="Picture 66"/>
        <cNvPicPr>
          <a:picLocks noChangeAspect="1" noChangeArrowheads="1"/>
        </cNvPicPr>
      </nvPicPr>
      <blipFill>
        <a:blip r:embed="rId6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68" name="Picture 67"/>
        <cNvPicPr>
          <a:picLocks noChangeAspect="1" noChangeArrowheads="1"/>
        </cNvPicPr>
      </nvPicPr>
      <blipFill>
        <a:blip r:embed="rId6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69" name="Picture 68"/>
        <cNvPicPr>
          <a:picLocks noChangeAspect="1" noChangeArrowheads="1"/>
        </cNvPicPr>
      </nvPicPr>
      <blipFill>
        <a:blip r:embed="rId68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0" name="Picture 69"/>
        <cNvPicPr>
          <a:picLocks noChangeAspect="1" noChangeArrowheads="1"/>
        </cNvPicPr>
      </nvPicPr>
      <blipFill>
        <a:blip r:embed="rId6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1" name="Picture 70"/>
        <cNvPicPr>
          <a:picLocks noChangeAspect="1" noChangeArrowheads="1"/>
        </cNvPicPr>
      </nvPicPr>
      <blipFill>
        <a:blip r:embed="rId7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2" name="Picture 71"/>
        <cNvPicPr>
          <a:picLocks noChangeAspect="1" noChangeArrowheads="1"/>
        </cNvPicPr>
      </nvPicPr>
      <blipFill>
        <a:blip r:embed="rId7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3" name="Picture 72"/>
        <cNvPicPr>
          <a:picLocks noChangeAspect="1" noChangeArrowheads="1"/>
        </cNvPicPr>
      </nvPicPr>
      <blipFill>
        <a:blip r:embed="rId7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4" name="Picture 73"/>
        <cNvPicPr>
          <a:picLocks noChangeAspect="1" noChangeArrowheads="1"/>
        </cNvPicPr>
      </nvPicPr>
      <blipFill>
        <a:blip r:embed="rId7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5" name="Picture 74"/>
        <cNvPicPr>
          <a:picLocks noChangeAspect="1" noChangeArrowheads="1"/>
        </cNvPicPr>
      </nvPicPr>
      <blipFill>
        <a:blip r:embed="rId7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6" name="Picture 75"/>
        <cNvPicPr>
          <a:picLocks noChangeAspect="1" noChangeArrowheads="1"/>
        </cNvPicPr>
      </nvPicPr>
      <blipFill>
        <a:blip r:embed="rId7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7" name="Picture 76"/>
        <cNvPicPr>
          <a:picLocks noChangeAspect="1" noChangeArrowheads="1"/>
        </cNvPicPr>
      </nvPicPr>
      <blipFill>
        <a:blip r:embed="rId7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78" name="Picture 77"/>
        <cNvPicPr>
          <a:picLocks noChangeAspect="1" noChangeArrowheads="1"/>
        </cNvPicPr>
      </nvPicPr>
      <blipFill>
        <a:blip r:embed="rId77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79" name="Picture 78"/>
        <cNvPicPr>
          <a:picLocks noChangeAspect="1" noChangeArrowheads="1"/>
        </cNvPicPr>
      </nvPicPr>
      <blipFill>
        <a:blip r:embed="rId7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0" name="Picture 79"/>
        <cNvPicPr>
          <a:picLocks noChangeAspect="1" noChangeArrowheads="1"/>
        </cNvPicPr>
      </nvPicPr>
      <blipFill>
        <a:blip r:embed="rId7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1" name="Picture 80"/>
        <cNvPicPr>
          <a:picLocks noChangeAspect="1" noChangeArrowheads="1"/>
        </cNvPicPr>
      </nvPicPr>
      <blipFill>
        <a:blip r:embed="rId8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2" name="Picture 81"/>
        <cNvPicPr>
          <a:picLocks noChangeAspect="1" noChangeArrowheads="1"/>
        </cNvPicPr>
      </nvPicPr>
      <blipFill>
        <a:blip r:embed="rId8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3" name="Picture 82"/>
        <cNvPicPr>
          <a:picLocks noChangeAspect="1" noChangeArrowheads="1"/>
        </cNvPicPr>
      </nvPicPr>
      <blipFill>
        <a:blip r:embed="rId8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4" name="Picture 83"/>
        <cNvPicPr>
          <a:picLocks noChangeAspect="1" noChangeArrowheads="1"/>
        </cNvPicPr>
      </nvPicPr>
      <blipFill>
        <a:blip r:embed="rId8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5" name="Picture 84"/>
        <cNvPicPr>
          <a:picLocks noChangeAspect="1" noChangeArrowheads="1"/>
        </cNvPicPr>
      </nvPicPr>
      <blipFill>
        <a:blip r:embed="rId8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6" name="Picture 85"/>
        <cNvPicPr>
          <a:picLocks noChangeAspect="1" noChangeArrowheads="1"/>
        </cNvPicPr>
      </nvPicPr>
      <blipFill>
        <a:blip r:embed="rId8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87" name="Picture 86"/>
        <cNvPicPr>
          <a:picLocks noChangeAspect="1" noChangeArrowheads="1"/>
        </cNvPicPr>
      </nvPicPr>
      <blipFill>
        <a:blip r:embed="rId86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8" name="Picture 87"/>
        <cNvPicPr>
          <a:picLocks noChangeAspect="1" noChangeArrowheads="1"/>
        </cNvPicPr>
      </nvPicPr>
      <blipFill>
        <a:blip r:embed="rId8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89" name="Picture 88"/>
        <cNvPicPr>
          <a:picLocks noChangeAspect="1" noChangeArrowheads="1"/>
        </cNvPicPr>
      </nvPicPr>
      <blipFill>
        <a:blip r:embed="rId8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0" name="Picture 89"/>
        <cNvPicPr>
          <a:picLocks noChangeAspect="1" noChangeArrowheads="1"/>
        </cNvPicPr>
      </nvPicPr>
      <blipFill>
        <a:blip r:embed="rId8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1" name="Picture 90"/>
        <cNvPicPr>
          <a:picLocks noChangeAspect="1" noChangeArrowheads="1"/>
        </cNvPicPr>
      </nvPicPr>
      <blipFill>
        <a:blip r:embed="rId9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2" name="Picture 91"/>
        <cNvPicPr>
          <a:picLocks noChangeAspect="1" noChangeArrowheads="1"/>
        </cNvPicPr>
      </nvPicPr>
      <blipFill>
        <a:blip r:embed="rId9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3" name="Picture 92"/>
        <cNvPicPr>
          <a:picLocks noChangeAspect="1" noChangeArrowheads="1"/>
        </cNvPicPr>
      </nvPicPr>
      <blipFill>
        <a:blip r:embed="rId9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4" name="Picture 93"/>
        <cNvPicPr>
          <a:picLocks noChangeAspect="1" noChangeArrowheads="1"/>
        </cNvPicPr>
      </nvPicPr>
      <blipFill>
        <a:blip r:embed="rId9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5" name="Picture 94"/>
        <cNvPicPr>
          <a:picLocks noChangeAspect="1" noChangeArrowheads="1"/>
        </cNvPicPr>
      </nvPicPr>
      <blipFill>
        <a:blip r:embed="rId9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96" name="Picture 95"/>
        <cNvPicPr>
          <a:picLocks noChangeAspect="1" noChangeArrowheads="1"/>
        </cNvPicPr>
      </nvPicPr>
      <blipFill>
        <a:blip r:embed="rId95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7" name="Picture 96"/>
        <cNvPicPr>
          <a:picLocks noChangeAspect="1" noChangeArrowheads="1"/>
        </cNvPicPr>
      </nvPicPr>
      <blipFill>
        <a:blip r:embed="rId9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8" name="Picture 97"/>
        <cNvPicPr>
          <a:picLocks noChangeAspect="1" noChangeArrowheads="1"/>
        </cNvPicPr>
      </nvPicPr>
      <blipFill>
        <a:blip r:embed="rId9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99" name="Picture 98"/>
        <cNvPicPr>
          <a:picLocks noChangeAspect="1" noChangeArrowheads="1"/>
        </cNvPicPr>
      </nvPicPr>
      <blipFill>
        <a:blip r:embed="rId9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0" name="Picture 99"/>
        <cNvPicPr>
          <a:picLocks noChangeAspect="1" noChangeArrowheads="1"/>
        </cNvPicPr>
      </nvPicPr>
      <blipFill>
        <a:blip r:embed="rId9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1" name="Picture 100"/>
        <cNvPicPr>
          <a:picLocks noChangeAspect="1" noChangeArrowheads="1"/>
        </cNvPicPr>
      </nvPicPr>
      <blipFill>
        <a:blip r:embed="rId10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2" name="Picture 101"/>
        <cNvPicPr>
          <a:picLocks noChangeAspect="1" noChangeArrowheads="1"/>
        </cNvPicPr>
      </nvPicPr>
      <blipFill>
        <a:blip r:embed="rId10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3" name="Picture 102"/>
        <cNvPicPr>
          <a:picLocks noChangeAspect="1" noChangeArrowheads="1"/>
        </cNvPicPr>
      </nvPicPr>
      <blipFill>
        <a:blip r:embed="rId10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4" name="Picture 103"/>
        <cNvPicPr>
          <a:picLocks noChangeAspect="1" noChangeArrowheads="1"/>
        </cNvPicPr>
      </nvPicPr>
      <blipFill>
        <a:blip r:embed="rId10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05" name="Picture 104"/>
        <cNvPicPr>
          <a:picLocks noChangeAspect="1" noChangeArrowheads="1"/>
        </cNvPicPr>
      </nvPicPr>
      <blipFill>
        <a:blip r:embed="rId104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6" name="Picture 105"/>
        <cNvPicPr>
          <a:picLocks noChangeAspect="1" noChangeArrowheads="1"/>
        </cNvPicPr>
      </nvPicPr>
      <blipFill>
        <a:blip r:embed="rId10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7" name="Picture 106"/>
        <cNvPicPr>
          <a:picLocks noChangeAspect="1" noChangeArrowheads="1"/>
        </cNvPicPr>
      </nvPicPr>
      <blipFill>
        <a:blip r:embed="rId10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8" name="Picture 107"/>
        <cNvPicPr>
          <a:picLocks noChangeAspect="1" noChangeArrowheads="1"/>
        </cNvPicPr>
      </nvPicPr>
      <blipFill>
        <a:blip r:embed="rId10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09" name="Picture 108"/>
        <cNvPicPr>
          <a:picLocks noChangeAspect="1" noChangeArrowheads="1"/>
        </cNvPicPr>
      </nvPicPr>
      <blipFill>
        <a:blip r:embed="rId10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0" name="Picture 109"/>
        <cNvPicPr>
          <a:picLocks noChangeAspect="1" noChangeArrowheads="1"/>
        </cNvPicPr>
      </nvPicPr>
      <blipFill>
        <a:blip r:embed="rId10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1" name="Picture 110"/>
        <cNvPicPr>
          <a:picLocks noChangeAspect="1" noChangeArrowheads="1"/>
        </cNvPicPr>
      </nvPicPr>
      <blipFill>
        <a:blip r:embed="rId11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2" name="Picture 111"/>
        <cNvPicPr>
          <a:picLocks noChangeAspect="1" noChangeArrowheads="1"/>
        </cNvPicPr>
      </nvPicPr>
      <blipFill>
        <a:blip r:embed="rId11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3" name="Picture 112"/>
        <cNvPicPr>
          <a:picLocks noChangeAspect="1" noChangeArrowheads="1"/>
        </cNvPicPr>
      </nvPicPr>
      <blipFill>
        <a:blip r:embed="rId11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14" name="Picture 113"/>
        <cNvPicPr>
          <a:picLocks noChangeAspect="1" noChangeArrowheads="1"/>
        </cNvPicPr>
      </nvPicPr>
      <blipFill>
        <a:blip r:embed="rId113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5" name="Picture 114"/>
        <cNvPicPr>
          <a:picLocks noChangeAspect="1" noChangeArrowheads="1"/>
        </cNvPicPr>
      </nvPicPr>
      <blipFill>
        <a:blip r:embed="rId11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6" name="Picture 115"/>
        <cNvPicPr>
          <a:picLocks noChangeAspect="1" noChangeArrowheads="1"/>
        </cNvPicPr>
      </nvPicPr>
      <blipFill>
        <a:blip r:embed="rId11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7" name="Picture 116"/>
        <cNvPicPr>
          <a:picLocks noChangeAspect="1" noChangeArrowheads="1"/>
        </cNvPicPr>
      </nvPicPr>
      <blipFill>
        <a:blip r:embed="rId11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8" name="Picture 117"/>
        <cNvPicPr>
          <a:picLocks noChangeAspect="1" noChangeArrowheads="1"/>
        </cNvPicPr>
      </nvPicPr>
      <blipFill>
        <a:blip r:embed="rId11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19" name="Picture 118"/>
        <cNvPicPr>
          <a:picLocks noChangeAspect="1" noChangeArrowheads="1"/>
        </cNvPicPr>
      </nvPicPr>
      <blipFill>
        <a:blip r:embed="rId11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0" name="Picture 119"/>
        <cNvPicPr>
          <a:picLocks noChangeAspect="1" noChangeArrowheads="1"/>
        </cNvPicPr>
      </nvPicPr>
      <blipFill>
        <a:blip r:embed="rId11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1" name="Picture 120"/>
        <cNvPicPr>
          <a:picLocks noChangeAspect="1" noChangeArrowheads="1"/>
        </cNvPicPr>
      </nvPicPr>
      <blipFill>
        <a:blip r:embed="rId12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2" name="Picture 121"/>
        <cNvPicPr>
          <a:picLocks noChangeAspect="1" noChangeArrowheads="1"/>
        </cNvPicPr>
      </nvPicPr>
      <blipFill>
        <a:blip r:embed="rId12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23" name="Picture 122"/>
        <cNvPicPr>
          <a:picLocks noChangeAspect="1" noChangeArrowheads="1"/>
        </cNvPicPr>
      </nvPicPr>
      <blipFill>
        <a:blip r:embed="rId122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4" name="Picture 123"/>
        <cNvPicPr>
          <a:picLocks noChangeAspect="1" noChangeArrowheads="1"/>
        </cNvPicPr>
      </nvPicPr>
      <blipFill>
        <a:blip r:embed="rId12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5" name="Picture 124"/>
        <cNvPicPr>
          <a:picLocks noChangeAspect="1" noChangeArrowheads="1"/>
        </cNvPicPr>
      </nvPicPr>
      <blipFill>
        <a:blip r:embed="rId12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6" name="Picture 125"/>
        <cNvPicPr>
          <a:picLocks noChangeAspect="1" noChangeArrowheads="1"/>
        </cNvPicPr>
      </nvPicPr>
      <blipFill>
        <a:blip r:embed="rId12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7" name="Picture 126"/>
        <cNvPicPr>
          <a:picLocks noChangeAspect="1" noChangeArrowheads="1"/>
        </cNvPicPr>
      </nvPicPr>
      <blipFill>
        <a:blip r:embed="rId12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8" name="Picture 127"/>
        <cNvPicPr>
          <a:picLocks noChangeAspect="1" noChangeArrowheads="1"/>
        </cNvPicPr>
      </nvPicPr>
      <blipFill>
        <a:blip r:embed="rId12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29" name="Picture 128"/>
        <cNvPicPr>
          <a:picLocks noChangeAspect="1" noChangeArrowheads="1"/>
        </cNvPicPr>
      </nvPicPr>
      <blipFill>
        <a:blip r:embed="rId12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0" name="Picture 129"/>
        <cNvPicPr>
          <a:picLocks noChangeAspect="1" noChangeArrowheads="1"/>
        </cNvPicPr>
      </nvPicPr>
      <blipFill>
        <a:blip r:embed="rId12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1" name="Picture 130"/>
        <cNvPicPr>
          <a:picLocks noChangeAspect="1" noChangeArrowheads="1"/>
        </cNvPicPr>
      </nvPicPr>
      <blipFill>
        <a:blip r:embed="rId13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32" name="Picture 131"/>
        <cNvPicPr>
          <a:picLocks noChangeAspect="1" noChangeArrowheads="1"/>
        </cNvPicPr>
      </nvPicPr>
      <blipFill>
        <a:blip r:embed="rId131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3" name="Picture 132"/>
        <cNvPicPr>
          <a:picLocks noChangeAspect="1" noChangeArrowheads="1"/>
        </cNvPicPr>
      </nvPicPr>
      <blipFill>
        <a:blip r:embed="rId13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4" name="Picture 133"/>
        <cNvPicPr>
          <a:picLocks noChangeAspect="1" noChangeArrowheads="1"/>
        </cNvPicPr>
      </nvPicPr>
      <blipFill>
        <a:blip r:embed="rId13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5" name="Picture 134"/>
        <cNvPicPr>
          <a:picLocks noChangeAspect="1" noChangeArrowheads="1"/>
        </cNvPicPr>
      </nvPicPr>
      <blipFill>
        <a:blip r:embed="rId13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6" name="Picture 135"/>
        <cNvPicPr>
          <a:picLocks noChangeAspect="1" noChangeArrowheads="1"/>
        </cNvPicPr>
      </nvPicPr>
      <blipFill>
        <a:blip r:embed="rId13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7" name="Picture 136"/>
        <cNvPicPr>
          <a:picLocks noChangeAspect="1" noChangeArrowheads="1"/>
        </cNvPicPr>
      </nvPicPr>
      <blipFill>
        <a:blip r:embed="rId13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8" name="Picture 137"/>
        <cNvPicPr>
          <a:picLocks noChangeAspect="1" noChangeArrowheads="1"/>
        </cNvPicPr>
      </nvPicPr>
      <blipFill>
        <a:blip r:embed="rId13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39" name="Picture 138"/>
        <cNvPicPr>
          <a:picLocks noChangeAspect="1" noChangeArrowheads="1"/>
        </cNvPicPr>
      </nvPicPr>
      <blipFill>
        <a:blip r:embed="rId13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0" name="Picture 139"/>
        <cNvPicPr>
          <a:picLocks noChangeAspect="1" noChangeArrowheads="1"/>
        </cNvPicPr>
      </nvPicPr>
      <blipFill>
        <a:blip r:embed="rId13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41" name="Picture 140"/>
        <cNvPicPr>
          <a:picLocks noChangeAspect="1" noChangeArrowheads="1"/>
        </cNvPicPr>
      </nvPicPr>
      <blipFill>
        <a:blip r:embed="rId140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2" name="Picture 141"/>
        <cNvPicPr>
          <a:picLocks noChangeAspect="1" noChangeArrowheads="1"/>
        </cNvPicPr>
      </nvPicPr>
      <blipFill>
        <a:blip r:embed="rId14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3" name="Picture 142"/>
        <cNvPicPr>
          <a:picLocks noChangeAspect="1" noChangeArrowheads="1"/>
        </cNvPicPr>
      </nvPicPr>
      <blipFill>
        <a:blip r:embed="rId14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4" name="Picture 143"/>
        <cNvPicPr>
          <a:picLocks noChangeAspect="1" noChangeArrowheads="1"/>
        </cNvPicPr>
      </nvPicPr>
      <blipFill>
        <a:blip r:embed="rId14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5" name="Picture 144"/>
        <cNvPicPr>
          <a:picLocks noChangeAspect="1" noChangeArrowheads="1"/>
        </cNvPicPr>
      </nvPicPr>
      <blipFill>
        <a:blip r:embed="rId14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6" name="Picture 145"/>
        <cNvPicPr>
          <a:picLocks noChangeAspect="1" noChangeArrowheads="1"/>
        </cNvPicPr>
      </nvPicPr>
      <blipFill>
        <a:blip r:embed="rId14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7" name="Picture 146"/>
        <cNvPicPr>
          <a:picLocks noChangeAspect="1" noChangeArrowheads="1"/>
        </cNvPicPr>
      </nvPicPr>
      <blipFill>
        <a:blip r:embed="rId14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8" name="Picture 147"/>
        <cNvPicPr>
          <a:picLocks noChangeAspect="1" noChangeArrowheads="1"/>
        </cNvPicPr>
      </nvPicPr>
      <blipFill>
        <a:blip r:embed="rId14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49" name="Picture 148"/>
        <cNvPicPr>
          <a:picLocks noChangeAspect="1" noChangeArrowheads="1"/>
        </cNvPicPr>
      </nvPicPr>
      <blipFill>
        <a:blip r:embed="rId14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50" name="Picture 149"/>
        <cNvPicPr>
          <a:picLocks noChangeAspect="1" noChangeArrowheads="1"/>
        </cNvPicPr>
      </nvPicPr>
      <blipFill>
        <a:blip r:embed="rId149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1" name="Picture 150"/>
        <cNvPicPr>
          <a:picLocks noChangeAspect="1" noChangeArrowheads="1"/>
        </cNvPicPr>
      </nvPicPr>
      <blipFill>
        <a:blip r:embed="rId15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2" name="Picture 151"/>
        <cNvPicPr>
          <a:picLocks noChangeAspect="1" noChangeArrowheads="1"/>
        </cNvPicPr>
      </nvPicPr>
      <blipFill>
        <a:blip r:embed="rId15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3" name="Picture 152"/>
        <cNvPicPr>
          <a:picLocks noChangeAspect="1" noChangeArrowheads="1"/>
        </cNvPicPr>
      </nvPicPr>
      <blipFill>
        <a:blip r:embed="rId15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4" name="Picture 153"/>
        <cNvPicPr>
          <a:picLocks noChangeAspect="1" noChangeArrowheads="1"/>
        </cNvPicPr>
      </nvPicPr>
      <blipFill>
        <a:blip r:embed="rId15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5" name="Picture 154"/>
        <cNvPicPr>
          <a:picLocks noChangeAspect="1" noChangeArrowheads="1"/>
        </cNvPicPr>
      </nvPicPr>
      <blipFill>
        <a:blip r:embed="rId15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6" name="Picture 155"/>
        <cNvPicPr>
          <a:picLocks noChangeAspect="1" noChangeArrowheads="1"/>
        </cNvPicPr>
      </nvPicPr>
      <blipFill>
        <a:blip r:embed="rId15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7" name="Picture 156"/>
        <cNvPicPr>
          <a:picLocks noChangeAspect="1" noChangeArrowheads="1"/>
        </cNvPicPr>
      </nvPicPr>
      <blipFill>
        <a:blip r:embed="rId15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58" name="Picture 157"/>
        <cNvPicPr>
          <a:picLocks noChangeAspect="1" noChangeArrowheads="1"/>
        </cNvPicPr>
      </nvPicPr>
      <blipFill>
        <a:blip r:embed="rId15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59" name="Picture 158"/>
        <cNvPicPr>
          <a:picLocks noChangeAspect="1" noChangeArrowheads="1"/>
        </cNvPicPr>
      </nvPicPr>
      <blipFill>
        <a:blip r:embed="rId158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0" name="Picture 159"/>
        <cNvPicPr>
          <a:picLocks noChangeAspect="1" noChangeArrowheads="1"/>
        </cNvPicPr>
      </nvPicPr>
      <blipFill>
        <a:blip r:embed="rId15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1" name="Picture 160"/>
        <cNvPicPr>
          <a:picLocks noChangeAspect="1" noChangeArrowheads="1"/>
        </cNvPicPr>
      </nvPicPr>
      <blipFill>
        <a:blip r:embed="rId16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2" name="Picture 161"/>
        <cNvPicPr>
          <a:picLocks noChangeAspect="1" noChangeArrowheads="1"/>
        </cNvPicPr>
      </nvPicPr>
      <blipFill>
        <a:blip r:embed="rId16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3" name="Picture 162"/>
        <cNvPicPr>
          <a:picLocks noChangeAspect="1" noChangeArrowheads="1"/>
        </cNvPicPr>
      </nvPicPr>
      <blipFill>
        <a:blip r:embed="rId16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4" name="Picture 163"/>
        <cNvPicPr>
          <a:picLocks noChangeAspect="1" noChangeArrowheads="1"/>
        </cNvPicPr>
      </nvPicPr>
      <blipFill>
        <a:blip r:embed="rId16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5" name="Picture 164"/>
        <cNvPicPr>
          <a:picLocks noChangeAspect="1" noChangeArrowheads="1"/>
        </cNvPicPr>
      </nvPicPr>
      <blipFill>
        <a:blip r:embed="rId16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6" name="Picture 165"/>
        <cNvPicPr>
          <a:picLocks noChangeAspect="1" noChangeArrowheads="1"/>
        </cNvPicPr>
      </nvPicPr>
      <blipFill>
        <a:blip r:embed="rId16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7" name="Picture 166"/>
        <cNvPicPr>
          <a:picLocks noChangeAspect="1" noChangeArrowheads="1"/>
        </cNvPicPr>
      </nvPicPr>
      <blipFill>
        <a:blip r:embed="rId16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68" name="Picture 167"/>
        <cNvPicPr>
          <a:picLocks noChangeAspect="1" noChangeArrowheads="1"/>
        </cNvPicPr>
      </nvPicPr>
      <blipFill>
        <a:blip r:embed="rId167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69" name="Picture 168"/>
        <cNvPicPr>
          <a:picLocks noChangeAspect="1" noChangeArrowheads="1"/>
        </cNvPicPr>
      </nvPicPr>
      <blipFill>
        <a:blip r:embed="rId16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0" name="Picture 169"/>
        <cNvPicPr>
          <a:picLocks noChangeAspect="1" noChangeArrowheads="1"/>
        </cNvPicPr>
      </nvPicPr>
      <blipFill>
        <a:blip r:embed="rId16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1" name="Picture 170"/>
        <cNvPicPr>
          <a:picLocks noChangeAspect="1" noChangeArrowheads="1"/>
        </cNvPicPr>
      </nvPicPr>
      <blipFill>
        <a:blip r:embed="rId17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2" name="Picture 171"/>
        <cNvPicPr>
          <a:picLocks noChangeAspect="1" noChangeArrowheads="1"/>
        </cNvPicPr>
      </nvPicPr>
      <blipFill>
        <a:blip r:embed="rId17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3" name="Picture 172"/>
        <cNvPicPr>
          <a:picLocks noChangeAspect="1" noChangeArrowheads="1"/>
        </cNvPicPr>
      </nvPicPr>
      <blipFill>
        <a:blip r:embed="rId17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4" name="Picture 173"/>
        <cNvPicPr>
          <a:picLocks noChangeAspect="1" noChangeArrowheads="1"/>
        </cNvPicPr>
      </nvPicPr>
      <blipFill>
        <a:blip r:embed="rId17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5" name="Picture 174"/>
        <cNvPicPr>
          <a:picLocks noChangeAspect="1" noChangeArrowheads="1"/>
        </cNvPicPr>
      </nvPicPr>
      <blipFill>
        <a:blip r:embed="rId17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6" name="Picture 175"/>
        <cNvPicPr>
          <a:picLocks noChangeAspect="1" noChangeArrowheads="1"/>
        </cNvPicPr>
      </nvPicPr>
      <blipFill>
        <a:blip r:embed="rId175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77" name="Picture 176"/>
        <cNvPicPr>
          <a:picLocks noChangeAspect="1" noChangeArrowheads="1"/>
        </cNvPicPr>
      </nvPicPr>
      <blipFill>
        <a:blip r:embed="rId176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8" name="Picture 177"/>
        <cNvPicPr>
          <a:picLocks noChangeAspect="1" noChangeArrowheads="1"/>
        </cNvPicPr>
      </nvPicPr>
      <blipFill>
        <a:blip r:embed="rId17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79" name="Picture 178"/>
        <cNvPicPr>
          <a:picLocks noChangeAspect="1" noChangeArrowheads="1"/>
        </cNvPicPr>
      </nvPicPr>
      <blipFill>
        <a:blip r:embed="rId17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0" name="Picture 179"/>
        <cNvPicPr>
          <a:picLocks noChangeAspect="1" noChangeArrowheads="1"/>
        </cNvPicPr>
      </nvPicPr>
      <blipFill>
        <a:blip r:embed="rId17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1" name="Picture 180"/>
        <cNvPicPr>
          <a:picLocks noChangeAspect="1" noChangeArrowheads="1"/>
        </cNvPicPr>
      </nvPicPr>
      <blipFill>
        <a:blip r:embed="rId18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2" name="Picture 181"/>
        <cNvPicPr>
          <a:picLocks noChangeAspect="1" noChangeArrowheads="1"/>
        </cNvPicPr>
      </nvPicPr>
      <blipFill>
        <a:blip r:embed="rId18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3" name="Picture 182"/>
        <cNvPicPr>
          <a:picLocks noChangeAspect="1" noChangeArrowheads="1"/>
        </cNvPicPr>
      </nvPicPr>
      <blipFill>
        <a:blip r:embed="rId18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4" name="Picture 183"/>
        <cNvPicPr>
          <a:picLocks noChangeAspect="1" noChangeArrowheads="1"/>
        </cNvPicPr>
      </nvPicPr>
      <blipFill>
        <a:blip r:embed="rId18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5" name="Picture 184"/>
        <cNvPicPr>
          <a:picLocks noChangeAspect="1" noChangeArrowheads="1"/>
        </cNvPicPr>
      </nvPicPr>
      <blipFill>
        <a:blip r:embed="rId184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38100</colOff>
      <row>0</row>
      <rowOff>0</rowOff>
    </from>
    <to>
      <col>4</col>
      <colOff>0</colOff>
      <row>0</row>
      <rowOff>0</rowOff>
    </to>
    <pic>
      <nvPicPr>
        <cNvPr id="186" name="Picture 185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38100" y="0"/>
          <a:ext cx="217932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7" name="Picture 186"/>
        <cNvPicPr>
          <a:picLocks noChangeAspect="1" noChangeArrowheads="1"/>
        </cNvPicPr>
      </nvPicPr>
      <blipFill>
        <a:blip r:embed="rId186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8" name="Picture 187"/>
        <cNvPicPr>
          <a:picLocks noChangeAspect="1" noChangeArrowheads="1"/>
        </cNvPicPr>
      </nvPicPr>
      <blipFill>
        <a:blip r:embed="rId187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89" name="Picture 188"/>
        <cNvPicPr>
          <a:picLocks noChangeAspect="1" noChangeArrowheads="1"/>
        </cNvPicPr>
      </nvPicPr>
      <blipFill>
        <a:blip r:embed="rId188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90" name="Picture 189"/>
        <cNvPicPr>
          <a:picLocks noChangeAspect="1" noChangeArrowheads="1"/>
        </cNvPicPr>
      </nvPicPr>
      <blipFill>
        <a:blip r:embed="rId189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91" name="Picture 190"/>
        <cNvPicPr>
          <a:picLocks noChangeAspect="1" noChangeArrowheads="1"/>
        </cNvPicPr>
      </nvPicPr>
      <blipFill>
        <a:blip r:embed="rId190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92" name="Picture 191"/>
        <cNvPicPr>
          <a:picLocks noChangeAspect="1" noChangeArrowheads="1"/>
        </cNvPicPr>
      </nvPicPr>
      <blipFill>
        <a:blip r:embed="rId191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93" name="Picture 192"/>
        <cNvPicPr>
          <a:picLocks noChangeAspect="1" noChangeArrowheads="1"/>
        </cNvPicPr>
      </nvPicPr>
      <blipFill>
        <a:blip r:embed="rId192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0</row>
      <rowOff>0</rowOff>
    </from>
    <to>
      <col>4</col>
      <colOff>0</colOff>
      <row>0</row>
      <rowOff>0</rowOff>
    </to>
    <pic>
      <nvPicPr>
        <cNvPr id="194" name="Picture 193"/>
        <cNvPicPr>
          <a:picLocks noChangeAspect="1" noChangeArrowheads="1"/>
        </cNvPicPr>
      </nvPicPr>
      <blipFill>
        <a:blip r:embed="rId193"/>
        <a:srcRect/>
        <a:stretch>
          <a:fillRect/>
        </a:stretch>
      </blipFill>
      <spPr bwMode="auto">
        <a:xfrm>
          <a:off x="47625" y="0"/>
          <a:ext cx="216979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76200</colOff>
      <row>0</row>
      <rowOff>9525</rowOff>
    </from>
    <to>
      <col>5</col>
      <colOff>38100</colOff>
      <row>0</row>
      <rowOff>9525</rowOff>
    </to>
    <pic>
      <nvPicPr>
        <cNvPr id="195" name="Picture 194"/>
        <cNvPicPr>
          <a:picLocks noChangeAspect="1" noChangeArrowheads="1"/>
        </cNvPicPr>
      </nvPicPr>
      <blipFill>
        <a:blip r:embed="rId194"/>
        <a:srcRect/>
        <a:stretch>
          <a:fillRect/>
        </a:stretch>
      </blipFill>
      <spPr bwMode="auto">
        <a:xfrm>
          <a:off x="76200" y="9525"/>
          <a:ext cx="277368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0</row>
      <rowOff>0</rowOff>
    </from>
    <to>
      <col>4</col>
      <colOff>413657</colOff>
      <row>3</row>
      <rowOff>214992</rowOff>
    </to>
    <grpSp>
      <nvGrpSpPr>
        <cNvPr id="196" name="群組 197"/>
        <cNvGrpSpPr>
          <a:grpSpLocks/>
        </cNvGrpSpPr>
      </nvGrpSpPr>
      <grpSpPr bwMode="auto">
        <a:xfrm rot="0">
          <a:off x="0" y="0"/>
          <a:ext cx="2623457" cy="1031421"/>
          <a:chOff x="76200" y="85725"/>
          <a:chExt cx="2974466" cy="1009651"/>
        </a:xfrm>
      </grpSpPr>
      <pic>
        <nvPicPr>
          <cNvPr id="198" name="Picture 2" descr="logo"/>
          <cNvPicPr>
            <a:picLocks noChangeAspect="1" noChangeArrowheads="1"/>
          </cNvPicPr>
        </nvPicPr>
        <blipFill>
          <a:blip cstate="print" r:embed="rId195"/>
          <a:srcRect/>
          <a:stretch>
            <a:fillRect/>
          </a:stretch>
        </blipFill>
        <spPr bwMode="auto">
          <a:xfrm>
            <a:off x="76200" y="85725"/>
            <a:ext cx="1971675" cy="590550"/>
          </a:xfrm>
          <a:prstGeom prst="rect">
            <avLst/>
          </a:prstGeom>
          <a:noFill/>
          <a:ln>
            <a:noFill/>
            <a:prstDash val="solid"/>
          </a:ln>
        </spPr>
      </pic>
    </grpSp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&#38515;&#24535;&#20977;\&#26696;&#20214;&#35215;&#21123;\&#36984;&#27231;&#34920;-&#20844;&#24335;&#35443;&#32048;&#29256;&#26412;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flitt/OneDrive/&#26700;&#38754;/&#20844;&#21496;&#36039;&#26009;/&#23431;&#28085;/talent%204/&#20491;&#20154;&#22577;&#21578;/&#32113;&#35336;&#21488;&#25976;/20260130-&#20491;&#20154;&#31777;&#22577;-&#40643;&#23431;&#28085;/python&#23637;&#31034;/&#26696;&#20214;4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flitt/OneDrive/&#26700;&#38754;/talent%204/&#23567;&#32068;&#31777;&#22577;/&#36984;&#27231;&#34920;114-&#26085;&#26412;ushigoro%20s&#29138;&#32905;&#24215;&#26032;&#35373;&#24037;&#31243;&#26696;-v2-25110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VRV+RA "/>
      <sheetName val="不要刪"/>
    </sheetNames>
    <sheetDataSet>
      <sheetData sheetId="0" refreshError="1"/>
      <sheetData sheetId="1">
        <row r="2">
          <cell r="B2">
            <v>2.2000000000000002</v>
          </cell>
          <cell r="E2">
            <v>71</v>
          </cell>
          <cell r="F2">
            <v>7.2</v>
          </cell>
        </row>
        <row r="3">
          <cell r="B3">
            <v>2.8</v>
          </cell>
          <cell r="E3">
            <v>100</v>
          </cell>
          <cell r="F3">
            <v>10</v>
          </cell>
        </row>
        <row r="4">
          <cell r="B4">
            <v>3.6</v>
          </cell>
          <cell r="E4">
            <v>125</v>
          </cell>
          <cell r="F4">
            <v>12.5</v>
          </cell>
        </row>
        <row r="5">
          <cell r="B5">
            <v>4.5</v>
          </cell>
          <cell r="E5">
            <v>140</v>
          </cell>
          <cell r="F5">
            <v>13.3</v>
          </cell>
        </row>
        <row r="6">
          <cell r="B6">
            <v>5.6</v>
          </cell>
        </row>
        <row r="7">
          <cell r="B7">
            <v>7.1</v>
          </cell>
        </row>
        <row r="8">
          <cell r="B8">
            <v>9</v>
          </cell>
        </row>
        <row r="9">
          <cell r="B9">
            <v>11.2</v>
          </cell>
        </row>
        <row r="10">
          <cell r="B10">
            <v>14</v>
          </cell>
        </row>
        <row r="11">
          <cell r="B11">
            <v>16</v>
          </cell>
        </row>
        <row r="12">
          <cell r="B12">
            <v>22.4</v>
          </cell>
        </row>
        <row r="13">
          <cell r="B13">
            <v>28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選機表"/>
      <sheetName val="新風換氣機選型表"/>
      <sheetName val="不要刪"/>
      <sheetName val="資料庫"/>
    </sheetNames>
    <sheetDataSet>
      <sheetData sheetId="0"/>
      <sheetData sheetId="1"/>
      <sheetData sheetId="2">
        <row r="2">
          <cell r="A2">
            <v>20</v>
          </cell>
        </row>
        <row r="3">
          <cell r="A3">
            <v>25</v>
          </cell>
        </row>
        <row r="4">
          <cell r="A4">
            <v>32</v>
          </cell>
        </row>
        <row r="5">
          <cell r="A5">
            <v>40</v>
          </cell>
        </row>
        <row r="6">
          <cell r="A6">
            <v>50</v>
          </cell>
        </row>
        <row r="7">
          <cell r="A7">
            <v>63</v>
          </cell>
        </row>
        <row r="8">
          <cell r="A8">
            <v>71</v>
          </cell>
        </row>
        <row r="9">
          <cell r="A9">
            <v>80</v>
          </cell>
        </row>
        <row r="10">
          <cell r="A10">
            <v>100</v>
          </cell>
        </row>
        <row r="11">
          <cell r="A11">
            <v>125</v>
          </cell>
        </row>
        <row r="12">
          <cell r="A12">
            <v>140</v>
          </cell>
        </row>
        <row r="13">
          <cell r="A13">
            <v>200</v>
          </cell>
        </row>
        <row r="14">
          <cell r="A14">
            <v>250</v>
          </cell>
        </row>
      </sheetData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2025-VRV-v2-251103"/>
      <sheetName val="工作表9"/>
      <sheetName val="工作表1"/>
      <sheetName val="工作表12"/>
      <sheetName val="工作表10"/>
      <sheetName val="2025-家用多聯"/>
      <sheetName val="新風換氣機選型表"/>
      <sheetName val="不要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20</v>
          </cell>
          <cell r="B2">
            <v>1892</v>
          </cell>
        </row>
        <row r="3">
          <cell r="A3">
            <v>25</v>
          </cell>
          <cell r="B3">
            <v>2408</v>
          </cell>
        </row>
        <row r="4">
          <cell r="A4">
            <v>32</v>
          </cell>
          <cell r="B4">
            <v>3096</v>
          </cell>
        </row>
        <row r="5">
          <cell r="A5">
            <v>40</v>
          </cell>
          <cell r="B5">
            <v>3870</v>
          </cell>
        </row>
        <row r="6">
          <cell r="A6">
            <v>50</v>
          </cell>
          <cell r="B6">
            <v>4816</v>
          </cell>
        </row>
        <row r="7">
          <cell r="A7">
            <v>63</v>
          </cell>
          <cell r="B7">
            <v>6106</v>
          </cell>
        </row>
        <row r="8">
          <cell r="A8">
            <v>71</v>
          </cell>
        </row>
        <row r="9">
          <cell r="A9">
            <v>80</v>
          </cell>
          <cell r="B9">
            <v>7740</v>
          </cell>
        </row>
        <row r="10">
          <cell r="A10">
            <v>100</v>
          </cell>
          <cell r="B10">
            <v>9632</v>
          </cell>
        </row>
        <row r="11">
          <cell r="A11">
            <v>125</v>
          </cell>
          <cell r="B11">
            <v>12040</v>
          </cell>
        </row>
        <row r="12">
          <cell r="A12">
            <v>140</v>
          </cell>
          <cell r="B12">
            <v>13760</v>
          </cell>
        </row>
        <row r="13">
          <cell r="A13">
            <v>200</v>
          </cell>
          <cell r="B13">
            <v>19264</v>
          </cell>
        </row>
        <row r="14">
          <cell r="A14">
            <v>250</v>
          </cell>
          <cell r="B14">
            <v>24080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工作表5">
    <outlinePr summaryBelow="1" summaryRight="1"/>
    <pageSetUpPr fitToPage="1"/>
  </sheetPr>
  <dimension ref="A1:BF12"/>
  <sheetViews>
    <sheetView showGridLines="0" tabSelected="1" view="pageBreakPreview" zoomScale="70" zoomScaleNormal="90" zoomScaleSheetLayoutView="70" workbookViewId="0">
      <selection activeCell="K11" sqref="K11"/>
    </sheetView>
  </sheetViews>
  <sheetFormatPr baseColWidth="8" defaultColWidth="9" defaultRowHeight="15.6"/>
  <cols>
    <col width="4.6640625" customWidth="1" style="1" min="1" max="1"/>
    <col hidden="1" width="4.6640625" customWidth="1" style="1" min="2" max="2"/>
    <col hidden="1" width="6.6640625" customWidth="1" style="1" min="3" max="3"/>
    <col width="27.6640625" customWidth="1" style="1" min="4" max="4"/>
    <col width="8.6640625" customWidth="1" style="3" min="5" max="5"/>
    <col width="6.6640625" customWidth="1" style="162" min="6" max="6"/>
    <col hidden="1" width="10.33203125" customWidth="1" style="163" min="7" max="7"/>
    <col width="13.109375" bestFit="1" customWidth="1" style="163" min="8" max="8"/>
    <col width="11.6640625" customWidth="1" style="164" min="9" max="9"/>
    <col width="11.6640625" customWidth="1" style="164" min="10" max="11"/>
    <col width="11.6640625" customWidth="1" style="163" min="12" max="13"/>
    <col width="18.6640625" customWidth="1" style="164" min="14" max="14"/>
    <col width="5.6640625" customWidth="1" style="164" min="15" max="15"/>
    <col width="10.6640625" customWidth="1" style="164" min="16" max="16"/>
    <col width="10.6640625" customWidth="1" style="165" min="17" max="17"/>
    <col width="8.6640625" customWidth="1" style="165" min="18" max="18"/>
    <col width="15.6640625" customWidth="1" style="165" min="19" max="19"/>
    <col width="10.6640625" customWidth="1" style="165" min="20" max="21"/>
    <col width="15.6640625" customWidth="1" style="165" min="22" max="22"/>
    <col width="10.6640625" customWidth="1" style="164" min="23" max="23"/>
    <col width="10.6640625" customWidth="1" style="165" min="24" max="25"/>
    <col width="10.77734375" customWidth="1" style="165" min="26" max="26"/>
    <col width="10.6640625" customWidth="1" style="165" min="27" max="27"/>
    <col width="10.6640625" customWidth="1" style="164" min="28" max="28"/>
    <col width="10.6640625" customWidth="1" style="16" min="29" max="30"/>
    <col width="18.6640625" customWidth="1" style="164" min="31" max="31"/>
    <col width="5.6640625" customWidth="1" style="164" min="32" max="32"/>
    <col width="10.44140625" customWidth="1" style="165" min="33" max="33"/>
    <col width="15.6640625" customWidth="1" style="165" min="34" max="34"/>
    <col width="7.21875" customWidth="1" style="165" min="35" max="35"/>
    <col width="7.33203125" customWidth="1" style="18" min="36" max="36"/>
    <col width="19.44140625" customWidth="1" style="165" min="37" max="37"/>
    <col width="20.6640625" customWidth="1" style="165" min="38" max="38"/>
    <col width="10.6640625" customWidth="1" style="165" min="39" max="40"/>
    <col width="15.6640625" customWidth="1" style="165" min="41" max="41"/>
    <col hidden="1" width="14.6640625" customWidth="1" style="166" min="42" max="42"/>
    <col hidden="1" width="10.6640625" customWidth="1" style="165" min="43" max="43"/>
    <col hidden="1" width="6.6640625" customWidth="1" style="165" min="44" max="44"/>
    <col hidden="1" width="10.44140625" customWidth="1" style="165" min="45" max="45"/>
    <col hidden="1" width="10.6640625" customWidth="1" style="165" min="46" max="46"/>
    <col hidden="1" width="13.88671875" customWidth="1" style="165" min="47" max="47"/>
    <col hidden="1" width="16.109375" customWidth="1" style="165" min="48" max="48"/>
    <col hidden="1" width="4.6640625" customWidth="1" style="165" min="49" max="49"/>
    <col hidden="1" width="10.6640625" customWidth="1" style="165" min="50" max="50"/>
    <col hidden="1" width="15.6640625" customWidth="1" style="165" min="51" max="52"/>
    <col hidden="1" width="12.6640625" customWidth="1" style="165" min="53" max="53"/>
    <col hidden="1" width="4.6640625" customWidth="1" style="165" min="54" max="54"/>
    <col hidden="1" width="10.6640625" customWidth="1" style="165" min="55" max="55"/>
    <col hidden="1" width="15.6640625" customWidth="1" style="165" min="56" max="56"/>
    <col hidden="1" width="10.6640625" customWidth="1" style="165" min="57" max="57"/>
    <col hidden="1" width="4.6640625" customWidth="1" style="165" min="58" max="58"/>
    <col width="9" customWidth="1" style="1" min="59" max="16384"/>
  </cols>
  <sheetData>
    <row r="1" ht="21" customHeight="1" s="52">
      <c r="F1" s="162" t="n"/>
      <c r="G1" s="163" t="n"/>
      <c r="H1" s="163" t="n"/>
      <c r="I1" s="164" t="n"/>
      <c r="J1" s="164" t="n"/>
      <c r="K1" s="164" t="n"/>
      <c r="L1" s="163" t="n"/>
      <c r="M1" s="163" t="n"/>
      <c r="N1" s="164" t="n"/>
      <c r="O1" s="164" t="n"/>
      <c r="P1" s="164" t="n"/>
      <c r="Q1" s="165" t="n"/>
      <c r="R1" s="165" t="n"/>
      <c r="S1" s="165" t="n"/>
      <c r="T1" s="165" t="n"/>
      <c r="U1" s="165" t="n"/>
      <c r="V1" s="165" t="n"/>
      <c r="W1" s="164" t="n"/>
      <c r="X1" s="165" t="n"/>
      <c r="Y1" s="165" t="n"/>
      <c r="Z1" s="165" t="n"/>
      <c r="AA1" s="165" t="n"/>
      <c r="AB1" s="164" t="n"/>
      <c r="AC1" s="16" t="n"/>
      <c r="AD1" s="16" t="n"/>
      <c r="AE1" s="164" t="n"/>
      <c r="AF1" s="164" t="n"/>
      <c r="AG1" s="165" t="n"/>
      <c r="AH1" s="165" t="n"/>
      <c r="AI1" s="165" t="n"/>
      <c r="AJ1" s="18" t="n"/>
      <c r="AK1" s="165" t="n"/>
      <c r="AL1" s="165" t="n"/>
      <c r="AM1" s="165" t="n"/>
      <c r="AN1" s="165" t="n"/>
      <c r="AO1" s="165" t="n"/>
      <c r="AQ1" s="165" t="n"/>
      <c r="AR1" s="165" t="n"/>
      <c r="AS1" s="165" t="n"/>
      <c r="AT1" s="165" t="n"/>
      <c r="AU1" s="165" t="n"/>
      <c r="AV1" s="165" t="n"/>
      <c r="AW1" s="165" t="n"/>
      <c r="AX1" s="165" t="n"/>
      <c r="AY1" s="165" t="n"/>
      <c r="AZ1" s="165" t="n"/>
      <c r="BA1" s="165" t="n"/>
      <c r="BB1" s="165" t="n"/>
      <c r="BC1" s="165" t="n"/>
      <c r="BD1" s="165" t="n"/>
      <c r="BE1" s="165" t="n"/>
      <c r="BF1" s="165" t="n"/>
    </row>
    <row r="2" ht="21" customHeight="1" s="52">
      <c r="F2" s="162" t="n"/>
      <c r="G2" s="163" t="n"/>
      <c r="H2" s="163" t="n"/>
      <c r="I2" s="164" t="n"/>
      <c r="J2" s="164" t="n"/>
      <c r="K2" s="164" t="n"/>
      <c r="L2" s="163" t="n"/>
      <c r="M2" s="163" t="n"/>
      <c r="N2" s="164" t="n"/>
      <c r="O2" s="164" t="n"/>
      <c r="P2" s="164" t="n"/>
      <c r="Q2" s="165" t="n"/>
      <c r="R2" s="165" t="n"/>
      <c r="S2" s="165" t="n"/>
      <c r="T2" s="165" t="n"/>
      <c r="U2" s="165" t="n"/>
      <c r="V2" s="165" t="n"/>
      <c r="W2" s="164" t="n"/>
      <c r="X2" s="165" t="n"/>
      <c r="Y2" s="165" t="n"/>
      <c r="Z2" s="165" t="n"/>
      <c r="AA2" s="165" t="n"/>
      <c r="AB2" s="164" t="n"/>
      <c r="AC2" s="16" t="n"/>
      <c r="AD2" s="16" t="n"/>
      <c r="AE2" s="164" t="n"/>
      <c r="AF2" s="164" t="n"/>
      <c r="AG2" s="165" t="n"/>
      <c r="AH2" s="165" t="n"/>
      <c r="AI2" s="165" t="n"/>
      <c r="AJ2" s="18" t="n"/>
      <c r="AK2" s="165" t="n"/>
      <c r="AL2" s="165" t="n"/>
      <c r="AM2" s="165" t="n"/>
      <c r="AN2" s="165" t="n"/>
      <c r="AO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</row>
    <row r="3" ht="21" customHeight="1" s="52">
      <c r="A3" s="54" t="inlineStr">
        <is>
          <t>空調系統設計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</row>
    <row r="4" ht="21" customHeight="1" s="52">
      <c r="A4" s="55" t="inlineStr">
        <is>
          <t>【選機表】</t>
        </is>
      </c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</row>
    <row r="5" ht="21" customHeight="1" s="52">
      <c r="A5" s="56" t="inlineStr">
        <is>
          <t>工程名稱：</t>
        </is>
      </c>
      <c r="B5" s="57" t="n"/>
      <c r="C5" s="58" t="n"/>
      <c r="D5" s="58" t="n"/>
      <c r="E5" s="59" t="n"/>
      <c r="F5" s="59" t="n"/>
      <c r="G5" s="5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</row>
    <row r="6" ht="21" customFormat="1" customHeight="1" s="2">
      <c r="A6" s="167" t="inlineStr">
        <is>
          <t>製表日期：</t>
        </is>
      </c>
      <c r="B6" s="168" t="n"/>
      <c r="C6" s="168" t="n"/>
      <c r="D6" s="168" t="n"/>
      <c r="E6" s="168" t="n"/>
      <c r="F6" s="168" t="n"/>
      <c r="G6" s="168" t="n"/>
      <c r="H6" s="60" t="n"/>
      <c r="I6" s="169" t="n"/>
      <c r="J6" s="169" t="n"/>
      <c r="K6" s="169" t="n"/>
      <c r="L6" s="60" t="n"/>
      <c r="M6" s="60" t="n"/>
      <c r="N6" s="169" t="n"/>
      <c r="O6" s="169" t="n"/>
      <c r="P6" s="169" t="n"/>
      <c r="Q6" s="169" t="n"/>
      <c r="R6" s="169" t="n"/>
      <c r="S6" s="169" t="n"/>
      <c r="T6" s="169" t="n"/>
      <c r="U6" s="169" t="n"/>
      <c r="V6" s="169" t="n"/>
      <c r="W6" s="169" t="n"/>
      <c r="X6" s="169" t="n"/>
      <c r="Y6" s="169" t="n"/>
      <c r="Z6" s="169" t="n"/>
      <c r="AA6" s="169" t="n"/>
      <c r="AB6" s="169" t="n"/>
      <c r="AC6" s="61" t="n"/>
      <c r="AD6" s="61" t="n"/>
      <c r="AE6" s="169" t="n"/>
      <c r="AF6" s="169" t="n"/>
      <c r="AG6" s="169" t="n"/>
      <c r="AH6" s="169" t="n"/>
      <c r="AI6" s="169" t="n"/>
      <c r="AJ6" s="62" t="n"/>
      <c r="AK6" s="169" t="n"/>
      <c r="AL6" s="169" t="n"/>
      <c r="AM6" s="169" t="n"/>
      <c r="AN6" s="169" t="n"/>
      <c r="AO6" s="169" t="n"/>
      <c r="AP6" s="170" t="n"/>
      <c r="AQ6" s="169" t="n"/>
      <c r="AR6" s="169" t="n"/>
      <c r="AS6" s="169" t="n"/>
      <c r="AT6" s="169" t="n"/>
      <c r="AU6" s="169" t="n"/>
      <c r="AV6" s="169" t="n"/>
      <c r="AW6" s="169" t="n"/>
      <c r="AX6" s="169" t="n"/>
      <c r="AY6" s="169" t="n"/>
      <c r="AZ6" s="169" t="n"/>
      <c r="BA6" s="169" t="n"/>
      <c r="BB6" s="169" t="n"/>
      <c r="BC6" s="169" t="n"/>
      <c r="BD6" s="169" t="n"/>
      <c r="BE6" s="169" t="n"/>
      <c r="BF6" s="169" t="n"/>
    </row>
    <row r="7" ht="39.75" customHeight="1" s="52">
      <c r="A7" s="151" t="inlineStr">
        <is>
          <t>樓
層</t>
        </is>
      </c>
      <c r="B7" s="152" t="inlineStr">
        <is>
          <t>棟
別</t>
        </is>
      </c>
      <c r="C7" s="154" t="inlineStr">
        <is>
          <t>科室
編號</t>
        </is>
      </c>
      <c r="D7" s="134" t="inlineStr">
        <is>
          <t>室  名</t>
        </is>
      </c>
      <c r="E7" s="134" t="inlineStr">
        <is>
          <t>面積</t>
        </is>
      </c>
      <c r="F7" s="171" t="inlineStr">
        <is>
          <t>坪數</t>
        </is>
      </c>
      <c r="G7" s="171" t="inlineStr">
        <is>
          <t>樓高</t>
        </is>
      </c>
      <c r="H7" s="172" t="inlineStr">
        <is>
          <t>每坪建議
負荷值</t>
        </is>
      </c>
      <c r="I7" s="173" t="n"/>
      <c r="J7" s="173" t="n"/>
      <c r="K7" s="174" t="n"/>
      <c r="L7" s="171" t="inlineStr">
        <is>
          <t>總熱負荷</t>
        </is>
      </c>
      <c r="M7" s="174" t="n"/>
      <c r="N7" s="70" t="inlineStr">
        <is>
          <t>室內機</t>
        </is>
      </c>
      <c r="O7" s="173" t="n"/>
      <c r="P7" s="173" t="n"/>
      <c r="Q7" s="173" t="n"/>
      <c r="R7" s="173" t="n"/>
      <c r="S7" s="173" t="n"/>
      <c r="T7" s="173" t="n"/>
      <c r="U7" s="173" t="n"/>
      <c r="V7" s="174" t="n"/>
      <c r="W7" s="69" t="inlineStr">
        <is>
          <t>室內冷房能力小計</t>
        </is>
      </c>
      <c r="X7" s="174" t="n"/>
      <c r="Y7" s="175" t="inlineStr">
        <is>
          <t>標稱能力
小計</t>
        </is>
      </c>
      <c r="Z7" s="151" t="inlineStr">
        <is>
          <t>耗電量
小計</t>
        </is>
      </c>
      <c r="AA7" s="69" t="inlineStr">
        <is>
          <t>每坪平均
負荷值</t>
        </is>
      </c>
      <c r="AB7" s="173" t="n"/>
      <c r="AC7" s="173" t="n"/>
      <c r="AD7" s="174" t="n"/>
      <c r="AE7" s="133" t="inlineStr">
        <is>
          <t>室外機</t>
        </is>
      </c>
      <c r="AF7" s="173" t="n"/>
      <c r="AG7" s="173" t="n"/>
      <c r="AH7" s="173" t="n"/>
      <c r="AI7" s="173" t="n"/>
      <c r="AJ7" s="173" t="n"/>
      <c r="AK7" s="173" t="n"/>
      <c r="AL7" s="173" t="n"/>
      <c r="AM7" s="173" t="n"/>
      <c r="AN7" s="173" t="n"/>
      <c r="AO7" s="174" t="n"/>
      <c r="AP7" s="176" t="inlineStr">
        <is>
          <t>備註</t>
        </is>
      </c>
      <c r="AQ7" s="177" t="inlineStr">
        <is>
          <t>全熱交換器</t>
        </is>
      </c>
      <c r="AR7" s="173" t="n"/>
      <c r="AS7" s="173" t="n"/>
      <c r="AT7" s="173" t="n"/>
      <c r="AU7" s="173" t="n"/>
      <c r="AV7" s="173" t="n"/>
      <c r="AW7" s="173" t="n"/>
      <c r="AX7" s="173" t="n"/>
      <c r="AY7" s="173" t="n"/>
      <c r="AZ7" s="174" t="n"/>
      <c r="BA7" s="178" t="inlineStr">
        <is>
          <t>吊隱式除濕機</t>
        </is>
      </c>
      <c r="BB7" s="173" t="n"/>
      <c r="BC7" s="173" t="n"/>
      <c r="BD7" s="174" t="n"/>
      <c r="BE7" s="178" t="inlineStr">
        <is>
          <t>控制器</t>
        </is>
      </c>
      <c r="BF7" s="174" t="n"/>
    </row>
    <row r="8" ht="51.75" customHeight="1" s="52">
      <c r="A8" s="179" t="n"/>
      <c r="B8" s="180" t="n"/>
      <c r="C8" s="180" t="n"/>
      <c r="D8" s="179" t="n"/>
      <c r="E8" s="134" t="inlineStr">
        <is>
          <t>(㎡)</t>
        </is>
      </c>
      <c r="F8" s="171" t="inlineStr">
        <is>
          <t>(P)</t>
        </is>
      </c>
      <c r="G8" s="181" t="inlineStr">
        <is>
          <t>(m)</t>
        </is>
      </c>
      <c r="H8" s="182" t="inlineStr">
        <is>
          <t>(kcal/hr/坪)</t>
        </is>
      </c>
      <c r="I8" s="182" t="inlineStr">
        <is>
          <t>(kcal/hr/㎡)</t>
        </is>
      </c>
      <c r="J8" s="182" t="inlineStr">
        <is>
          <t>(W/㎡)</t>
        </is>
      </c>
      <c r="K8" s="182" t="inlineStr">
        <is>
          <t>(kW/坪)</t>
        </is>
      </c>
      <c r="L8" s="182" t="inlineStr">
        <is>
          <t>(kW)</t>
        </is>
      </c>
      <c r="M8" s="69" t="inlineStr">
        <is>
          <t>(kcal/hr)</t>
        </is>
      </c>
      <c r="N8" s="70" t="inlineStr">
        <is>
          <t>室內機型號</t>
        </is>
      </c>
      <c r="O8" s="70" t="inlineStr">
        <is>
          <t>室內機台
數</t>
        </is>
      </c>
      <c r="P8" s="69" t="inlineStr">
        <is>
          <t>冷房能力
(kcal/hr)</t>
        </is>
      </c>
      <c r="Q8" s="69" t="inlineStr">
        <is>
          <t>冷房能力
(kW)</t>
        </is>
      </c>
      <c r="R8" s="70" t="inlineStr">
        <is>
          <t>標稱
能力</t>
        </is>
      </c>
      <c r="S8" s="69" t="inlineStr">
        <is>
          <t>電源</t>
        </is>
      </c>
      <c r="T8" s="69" t="inlineStr">
        <is>
          <t>單台
耗電量
(kW)</t>
        </is>
      </c>
      <c r="U8" s="144" t="inlineStr">
        <is>
          <t>單台
最大電流
(A)</t>
        </is>
      </c>
      <c r="V8" s="72" t="inlineStr">
        <is>
          <t>尺寸mm
(H×W×D)</t>
        </is>
      </c>
      <c r="W8" s="69" t="inlineStr">
        <is>
          <t>(kcal/hr)</t>
        </is>
      </c>
      <c r="X8" s="69" t="inlineStr">
        <is>
          <t>(kW)</t>
        </is>
      </c>
      <c r="Y8" s="179" t="n"/>
      <c r="Z8" s="73" t="inlineStr">
        <is>
          <t>kW</t>
        </is>
      </c>
      <c r="AA8" s="74" t="inlineStr">
        <is>
          <t>(kcal/hr/㎡)</t>
        </is>
      </c>
      <c r="AB8" s="74" t="inlineStr">
        <is>
          <t>(kcal/hr/坪)</t>
        </is>
      </c>
      <c r="AC8" s="134" t="inlineStr">
        <is>
          <t>(kW/坪)</t>
        </is>
      </c>
      <c r="AD8" s="134" t="inlineStr">
        <is>
          <t>(坪/USRT)</t>
        </is>
      </c>
      <c r="AE8" s="75" t="inlineStr">
        <is>
          <t>室外機型號</t>
        </is>
      </c>
      <c r="AF8" s="75" t="inlineStr">
        <is>
          <t>室外機台
數</t>
        </is>
      </c>
      <c r="AG8" s="133" t="inlineStr">
        <is>
          <t>冷房能力
(kcal/hr)</t>
        </is>
      </c>
      <c r="AH8" s="133" t="inlineStr">
        <is>
          <t>冷房能力
(kW)</t>
        </is>
      </c>
      <c r="AI8" s="151" t="inlineStr">
        <is>
          <t>標稱
能力</t>
        </is>
      </c>
      <c r="AJ8" s="77" t="inlineStr">
        <is>
          <t>連結率
%</t>
        </is>
      </c>
      <c r="AK8" s="133" t="inlineStr">
        <is>
          <t>耗電量
(kW)</t>
        </is>
      </c>
      <c r="AL8" s="176" t="inlineStr">
        <is>
          <t>電源</t>
        </is>
      </c>
      <c r="AM8" s="144" t="inlineStr">
        <is>
          <t>電路
最大電流
(A)</t>
        </is>
      </c>
      <c r="AN8" s="72" t="inlineStr">
        <is>
          <t>保險絲
最大電流
(A)</t>
        </is>
      </c>
      <c r="AO8" s="133" t="inlineStr">
        <is>
          <t>尺寸mm
(H×W×D)</t>
        </is>
      </c>
      <c r="AP8" s="179" t="n"/>
      <c r="AQ8" s="183" t="inlineStr">
        <is>
          <t>人員密度
(人/㎡)</t>
        </is>
      </c>
      <c r="AR8" s="183" t="inlineStr">
        <is>
          <t>預計人數
(人)</t>
        </is>
      </c>
      <c r="AS8" s="183" t="inlineStr">
        <is>
          <t>風量規劃基準
(m³/hr/人)</t>
        </is>
      </c>
      <c r="AT8" s="80" t="inlineStr">
        <is>
          <t>室內需求風量
(m³/hr)</t>
        </is>
      </c>
      <c r="AU8" s="80" t="inlineStr">
        <is>
          <t>加總風量
(m³/hr)</t>
        </is>
      </c>
      <c r="AV8" s="81" t="inlineStr">
        <is>
          <t>全熱型號</t>
        </is>
      </c>
      <c r="AW8" s="82" t="inlineStr">
        <is>
          <t>全熱台
數</t>
        </is>
      </c>
      <c r="AX8" s="80" t="inlineStr">
        <is>
          <t>單台
耗電量
(kW)</t>
        </is>
      </c>
      <c r="AY8" s="184" t="inlineStr">
        <is>
          <t>電源</t>
        </is>
      </c>
      <c r="AZ8" s="84" t="inlineStr">
        <is>
          <t>尺寸mm
(H×W×D)</t>
        </is>
      </c>
      <c r="BA8" s="130" t="inlineStr">
        <is>
          <t>型號</t>
        </is>
      </c>
      <c r="BB8" s="86" t="inlineStr">
        <is>
          <t>台
數</t>
        </is>
      </c>
      <c r="BC8" s="87" t="inlineStr">
        <is>
          <t>單台
耗電量
(kW)</t>
        </is>
      </c>
      <c r="BD8" s="130" t="inlineStr">
        <is>
          <t>電源</t>
        </is>
      </c>
      <c r="BE8" s="130" t="inlineStr">
        <is>
          <t>型號</t>
        </is>
      </c>
      <c r="BF8" s="86" t="inlineStr">
        <is>
          <t>數
量</t>
        </is>
      </c>
    </row>
    <row r="9" ht="30" customHeight="1" s="52">
      <c r="A9" s="88" t="n"/>
      <c r="B9" s="89" t="n"/>
      <c r="C9" s="90" t="n"/>
      <c r="D9" s="91" t="inlineStr">
        <is>
          <t>主管室</t>
        </is>
      </c>
      <c r="E9" s="92" t="n">
        <v>28.5</v>
      </c>
      <c r="F9" s="185" t="n">
        <v>8.619999999999999</v>
      </c>
      <c r="G9" s="88" t="n"/>
      <c r="H9" s="186" t="n">
        <v>550</v>
      </c>
      <c r="I9" s="95">
        <f>H9*0.3025</f>
        <v/>
      </c>
      <c r="J9" s="187">
        <f>H9/0.86*0.3025</f>
        <v/>
      </c>
      <c r="K9" s="188" t="n">
        <v>0.64</v>
      </c>
      <c r="L9" s="186" t="n">
        <v>5.51</v>
      </c>
      <c r="M9" s="186" t="n">
        <v>4741</v>
      </c>
      <c r="N9" s="189" t="inlineStr">
        <is>
          <t>FXDQ50NDVT</t>
        </is>
      </c>
      <c r="O9" s="190" t="n">
        <v>1</v>
      </c>
      <c r="P9" s="191" t="n">
        <v>4816</v>
      </c>
      <c r="Q9" s="192" t="n">
        <v>5.6</v>
      </c>
      <c r="R9" s="100" t="inlineStr">
        <is>
          <t>-</t>
        </is>
      </c>
      <c r="S9" s="193" t="inlineStr">
        <is>
          <t>1φ, 220V, 60Hz</t>
        </is>
      </c>
      <c r="T9" s="194" t="inlineStr">
        <is>
          <t>-</t>
        </is>
      </c>
      <c r="U9" s="192" t="inlineStr">
        <is>
          <t>-</t>
        </is>
      </c>
      <c r="V9" s="192" t="inlineStr">
        <is>
          <t>200×900×620</t>
        </is>
      </c>
      <c r="W9" s="191" t="n">
        <v>4816</v>
      </c>
      <c r="X9" s="88" t="n">
        <v>5.6</v>
      </c>
      <c r="Y9" s="53" t="inlineStr">
        <is>
          <t>-</t>
        </is>
      </c>
      <c r="Z9" s="195" t="inlineStr">
        <is>
          <t>-</t>
        </is>
      </c>
      <c r="AA9" s="159">
        <f>AB9*0.3025</f>
        <v/>
      </c>
      <c r="AB9" s="196" t="n">
        <v>559</v>
      </c>
      <c r="AC9" s="197" t="n">
        <v>0.6</v>
      </c>
      <c r="AD9" s="198" t="n">
        <v>5.4</v>
      </c>
      <c r="AE9" s="199" t="inlineStr">
        <is>
          <t>RXYQ8AYLT</t>
        </is>
      </c>
      <c r="AF9" s="107" t="n">
        <v>1</v>
      </c>
      <c r="AG9" s="200" t="n">
        <v>19264</v>
      </c>
      <c r="AH9" s="201" t="n">
        <v>22.4</v>
      </c>
      <c r="AI9" s="202" t="inlineStr">
        <is>
          <t>-</t>
        </is>
      </c>
      <c r="AJ9" s="110" t="inlineStr">
        <is>
          <t>-</t>
        </is>
      </c>
      <c r="AK9" s="203" t="n">
        <v>5.65</v>
      </c>
      <c r="AL9" s="204" t="inlineStr">
        <is>
          <t>3φ, 4P, 380V, 60Hz</t>
        </is>
      </c>
      <c r="AM9" s="205" t="n">
        <v>16.1</v>
      </c>
      <c r="AN9" s="206" t="n">
        <v>20</v>
      </c>
      <c r="AO9" s="206" t="inlineStr">
        <is>
          <t>1657×930×765</t>
        </is>
      </c>
      <c r="AP9" s="88" t="n"/>
      <c r="AQ9" s="207" t="n"/>
      <c r="AR9" s="113" t="n"/>
      <c r="AS9" s="88" t="n"/>
      <c r="AT9" s="88" t="n"/>
      <c r="AU9" s="113" t="n"/>
      <c r="AV9" s="207" t="n"/>
      <c r="AW9" s="113" t="n"/>
      <c r="AX9" s="194" t="n"/>
      <c r="AY9" s="194" t="n"/>
      <c r="AZ9" s="194" t="n"/>
      <c r="BA9" s="208" t="n"/>
      <c r="BB9" s="113" t="n"/>
      <c r="BC9" s="194" t="n"/>
      <c r="BD9" s="194" t="n"/>
      <c r="BE9" s="113" t="n"/>
      <c r="BF9" s="113" t="n"/>
    </row>
    <row r="10" ht="30" customHeight="1" s="52">
      <c r="A10" s="88" t="n"/>
      <c r="B10" s="89" t="n"/>
      <c r="C10" s="90" t="n"/>
      <c r="D10" s="91" t="inlineStr">
        <is>
          <t>大會議室</t>
        </is>
      </c>
      <c r="E10" s="92" t="n">
        <v>45</v>
      </c>
      <c r="F10" s="185" t="n">
        <v>13.61</v>
      </c>
      <c r="G10" s="88" t="n"/>
      <c r="H10" s="186" t="n">
        <v>600</v>
      </c>
      <c r="I10" s="95">
        <f>H10*0.3025</f>
        <v/>
      </c>
      <c r="J10" s="187">
        <f>H10/0.86*0.3025</f>
        <v/>
      </c>
      <c r="K10" s="188" t="n">
        <v>0.7</v>
      </c>
      <c r="L10" s="186" t="n">
        <v>9.5</v>
      </c>
      <c r="M10" s="186" t="n">
        <v>8166</v>
      </c>
      <c r="N10" s="189" t="inlineStr">
        <is>
          <t>FXDQ80NAVT</t>
        </is>
      </c>
      <c r="O10" s="190" t="n">
        <v>1</v>
      </c>
      <c r="P10" s="191" t="n">
        <v>7740</v>
      </c>
      <c r="Q10" s="192" t="n">
        <v>9</v>
      </c>
      <c r="R10" s="100" t="inlineStr">
        <is>
          <t>-</t>
        </is>
      </c>
      <c r="S10" s="193" t="inlineStr">
        <is>
          <t>1φ, 220V, 60Hz</t>
        </is>
      </c>
      <c r="T10" s="194" t="inlineStr">
        <is>
          <t>-</t>
        </is>
      </c>
      <c r="U10" s="192" t="inlineStr">
        <is>
          <t>-</t>
        </is>
      </c>
      <c r="V10" s="192" t="inlineStr">
        <is>
          <t>-</t>
        </is>
      </c>
      <c r="W10" s="191" t="n">
        <v>7740</v>
      </c>
      <c r="X10" s="88" t="n">
        <v>9</v>
      </c>
      <c r="Y10" s="53" t="inlineStr">
        <is>
          <t>-</t>
        </is>
      </c>
      <c r="Z10" s="195" t="inlineStr">
        <is>
          <t>-</t>
        </is>
      </c>
      <c r="AA10" s="159">
        <f>AB10*0.3025</f>
        <v/>
      </c>
      <c r="AB10" s="196" t="n">
        <v>569</v>
      </c>
      <c r="AC10" s="197" t="n">
        <v>0.7</v>
      </c>
      <c r="AD10" s="198" t="n">
        <v>5.3</v>
      </c>
      <c r="AE10" s="180" t="n"/>
      <c r="AF10" s="180" t="n"/>
      <c r="AG10" s="180" t="n"/>
      <c r="AH10" s="180" t="n"/>
      <c r="AI10" s="179" t="n"/>
      <c r="AJ10" s="179" t="n"/>
      <c r="AK10" s="179" t="n"/>
      <c r="AL10" s="179" t="n"/>
      <c r="AM10" s="179" t="n"/>
      <c r="AN10" s="179" t="n"/>
      <c r="AO10" s="179" t="n"/>
      <c r="AP10" s="88" t="n"/>
      <c r="AQ10" s="207" t="n"/>
      <c r="AR10" s="113" t="n"/>
      <c r="AS10" s="88" t="n"/>
      <c r="AT10" s="88" t="n"/>
      <c r="AU10" s="113" t="n"/>
      <c r="AV10" s="207" t="n"/>
      <c r="AW10" s="113" t="n"/>
      <c r="AX10" s="194" t="n"/>
      <c r="AY10" s="194" t="n"/>
      <c r="AZ10" s="194" t="n"/>
      <c r="BA10" s="208" t="n"/>
      <c r="BB10" s="113" t="n"/>
      <c r="BC10" s="194" t="n"/>
      <c r="BD10" s="194" t="n"/>
      <c r="BE10" s="113" t="n"/>
      <c r="BF10" s="113" t="n"/>
    </row>
    <row r="11" ht="30" customHeight="1" s="52">
      <c r="A11" s="88" t="n"/>
      <c r="B11" s="89" t="n"/>
      <c r="C11" s="90" t="n"/>
      <c r="D11" s="91" t="inlineStr">
        <is>
          <t>茶水間</t>
        </is>
      </c>
      <c r="E11" s="92" t="n">
        <v>12</v>
      </c>
      <c r="F11" s="185" t="n">
        <v>3.63</v>
      </c>
      <c r="G11" s="88" t="n"/>
      <c r="H11" s="186" t="n">
        <v>500</v>
      </c>
      <c r="I11" s="95">
        <f>H11*0.3025</f>
        <v/>
      </c>
      <c r="J11" s="187">
        <f>H11/0.86*0.3025</f>
        <v/>
      </c>
      <c r="K11" s="188" t="n">
        <v>0.58</v>
      </c>
      <c r="L11" s="186" t="n">
        <v>2.11</v>
      </c>
      <c r="M11" s="186" t="n">
        <v>1815</v>
      </c>
      <c r="N11" s="189" t="inlineStr">
        <is>
          <t>FTXV28UVLT</t>
        </is>
      </c>
      <c r="O11" s="190" t="n">
        <v>1</v>
      </c>
      <c r="P11" s="191" t="n">
        <v>2408</v>
      </c>
      <c r="Q11" s="192" t="n">
        <v>2.8</v>
      </c>
      <c r="R11" s="100" t="inlineStr">
        <is>
          <t>-</t>
        </is>
      </c>
      <c r="S11" s="193" t="inlineStr">
        <is>
          <t>-</t>
        </is>
      </c>
      <c r="T11" s="194" t="inlineStr">
        <is>
          <t>-</t>
        </is>
      </c>
      <c r="U11" s="192" t="inlineStr">
        <is>
          <t>-</t>
        </is>
      </c>
      <c r="V11" s="192" t="inlineStr">
        <is>
          <t>285×770×226</t>
        </is>
      </c>
      <c r="W11" s="191" t="n">
        <v>2408</v>
      </c>
      <c r="X11" s="88" t="n">
        <v>2.8</v>
      </c>
      <c r="Y11" s="53" t="inlineStr">
        <is>
          <t>-</t>
        </is>
      </c>
      <c r="Z11" s="195" t="inlineStr">
        <is>
          <t>-</t>
        </is>
      </c>
      <c r="AA11" s="159">
        <f>AB11*0.3025</f>
        <v/>
      </c>
      <c r="AB11" s="196" t="n">
        <v>663</v>
      </c>
      <c r="AC11" s="197" t="n">
        <v>0.8</v>
      </c>
      <c r="AD11" s="198" t="n">
        <v>4.6</v>
      </c>
      <c r="AE11" s="209" t="inlineStr">
        <is>
          <t>RXV28UVLT</t>
        </is>
      </c>
      <c r="AF11" s="107" t="n">
        <v>1</v>
      </c>
      <c r="AG11" s="210" t="n">
        <v>2408</v>
      </c>
      <c r="AH11" s="211" t="n">
        <v>2.8</v>
      </c>
      <c r="AI11" s="193" t="inlineStr">
        <is>
          <t>-</t>
        </is>
      </c>
      <c r="AJ11" s="110" t="inlineStr">
        <is>
          <t>-</t>
        </is>
      </c>
      <c r="AK11" s="212" t="n">
        <v>0.62</v>
      </c>
      <c r="AL11" s="213" t="inlineStr">
        <is>
          <t>1φ, 220V, 60Hz</t>
        </is>
      </c>
      <c r="AM11" s="197" t="n">
        <v>3.1</v>
      </c>
      <c r="AN11" s="192" t="n">
        <v>15</v>
      </c>
      <c r="AO11" s="192" t="inlineStr">
        <is>
          <t>550×675×284</t>
        </is>
      </c>
      <c r="AP11" s="88" t="n"/>
      <c r="AQ11" s="207" t="n"/>
      <c r="AR11" s="113" t="n"/>
      <c r="AS11" s="88" t="n"/>
      <c r="AT11" s="88" t="n"/>
      <c r="AU11" s="113" t="n"/>
      <c r="AV11" s="207" t="n"/>
      <c r="AW11" s="113" t="n"/>
      <c r="AX11" s="194" t="n"/>
      <c r="AY11" s="194" t="n"/>
      <c r="AZ11" s="194" t="n"/>
      <c r="BA11" s="208" t="n"/>
      <c r="BB11" s="113" t="n"/>
      <c r="BC11" s="194" t="n"/>
      <c r="BD11" s="194" t="n"/>
      <c r="BE11" s="113" t="n"/>
      <c r="BF11" s="113" t="n"/>
    </row>
    <row r="12" ht="30" customHeight="1" s="52">
      <c r="A12" s="88" t="n"/>
      <c r="B12" s="89" t="n"/>
      <c r="C12" s="90" t="n"/>
      <c r="D12" s="91" t="inlineStr">
        <is>
          <t>新風換氣區</t>
        </is>
      </c>
      <c r="E12" s="92" t="n">
        <v>80</v>
      </c>
      <c r="F12" s="185" t="n">
        <v>24.2</v>
      </c>
      <c r="G12" s="88" t="n"/>
      <c r="H12" s="186" t="n">
        <v>500</v>
      </c>
      <c r="I12" s="95">
        <f>H12*0.3025</f>
        <v/>
      </c>
      <c r="J12" s="187">
        <f>H12/0.86*0.3025</f>
        <v/>
      </c>
      <c r="K12" s="188" t="n">
        <v>0.58</v>
      </c>
      <c r="L12" s="186" t="n">
        <v>14.07</v>
      </c>
      <c r="M12" s="186" t="n">
        <v>12100</v>
      </c>
      <c r="N12" s="189" t="inlineStr">
        <is>
          <t>VAM500GVLT</t>
        </is>
      </c>
      <c r="O12" s="190" t="n">
        <v>2</v>
      </c>
      <c r="P12" s="191" t="n">
        <v>0</v>
      </c>
      <c r="Q12" s="192" t="n">
        <v>0</v>
      </c>
      <c r="R12" s="100" t="n">
        <v>0</v>
      </c>
      <c r="S12" s="193" t="inlineStr">
        <is>
          <t>1φ, 220V, 60Hz</t>
        </is>
      </c>
      <c r="T12" s="194" t="inlineStr">
        <is>
          <t>-</t>
        </is>
      </c>
      <c r="U12" s="192" t="inlineStr">
        <is>
          <t>-</t>
        </is>
      </c>
      <c r="V12" s="192" t="inlineStr">
        <is>
          <t>-</t>
        </is>
      </c>
      <c r="W12" s="191" t="n">
        <v>0</v>
      </c>
      <c r="X12" s="88" t="n">
        <v>0</v>
      </c>
      <c r="Y12" s="53">
        <f>R12*O12</f>
        <v/>
      </c>
      <c r="Z12" s="195" t="inlineStr">
        <is>
          <t>-</t>
        </is>
      </c>
      <c r="AA12" s="159">
        <f>AB12*0.3025</f>
        <v/>
      </c>
      <c r="AB12" s="196" t="n">
        <v>0</v>
      </c>
      <c r="AC12" s="197" t="n">
        <v>0</v>
      </c>
      <c r="AD12" s="198" t="n"/>
      <c r="AE12" s="209" t="inlineStr">
        <is>
          <t>-</t>
        </is>
      </c>
      <c r="AF12" s="107" t="n">
        <v>0</v>
      </c>
      <c r="AG12" s="210" t="inlineStr">
        <is>
          <t>-</t>
        </is>
      </c>
      <c r="AH12" s="211" t="n">
        <v>0</v>
      </c>
      <c r="AI12" s="193" t="inlineStr">
        <is>
          <t>-</t>
        </is>
      </c>
      <c r="AJ12" s="110" t="inlineStr">
        <is>
          <t>100%</t>
        </is>
      </c>
      <c r="AK12" s="213" t="inlineStr">
        <is>
          <t>-</t>
        </is>
      </c>
      <c r="AL12" s="213" t="inlineStr">
        <is>
          <t>-</t>
        </is>
      </c>
      <c r="AM12" s="192" t="inlineStr">
        <is>
          <t>-</t>
        </is>
      </c>
      <c r="AN12" s="192" t="inlineStr">
        <is>
          <t>-</t>
        </is>
      </c>
      <c r="AO12" s="192" t="inlineStr">
        <is>
          <t>-</t>
        </is>
      </c>
      <c r="AP12" s="88" t="n"/>
      <c r="AQ12" s="207" t="n"/>
      <c r="AR12" s="113" t="n"/>
      <c r="AS12" s="88" t="n"/>
      <c r="AT12" s="88" t="n"/>
      <c r="AU12" s="113" t="n"/>
      <c r="AV12" s="207" t="n"/>
      <c r="AW12" s="113" t="n"/>
      <c r="AX12" s="194" t="n"/>
      <c r="AY12" s="194" t="n"/>
      <c r="AZ12" s="194" t="n"/>
      <c r="BA12" s="208" t="n"/>
      <c r="BB12" s="113" t="n"/>
      <c r="BC12" s="194" t="n"/>
      <c r="BD12" s="194" t="n"/>
      <c r="BE12" s="113" t="n"/>
      <c r="BF12" s="113" t="n"/>
    </row>
    <row r="13" ht="30" customHeight="1" s="52"/>
    <row r="14" ht="30" customHeight="1" s="52"/>
    <row r="15" ht="30" customHeight="1" s="52"/>
    <row r="16" ht="30" customHeight="1" s="52"/>
    <row r="17" ht="30" customHeight="1" s="52"/>
    <row r="18" ht="30.75" customHeight="1" s="52"/>
    <row r="19" ht="30" customHeight="1" s="52"/>
    <row r="20" ht="30" customHeight="1" s="52"/>
    <row r="21" ht="30" customHeight="1" s="52"/>
    <row r="22" ht="30" customHeight="1" s="52"/>
    <row r="23" ht="30" customHeight="1" s="52"/>
    <row r="24" ht="30" customHeight="1" s="52"/>
    <row r="25" ht="30" customHeight="1" s="52"/>
    <row r="26" ht="30" customHeight="1" s="52"/>
    <row r="27" ht="30" customHeight="1" s="52"/>
    <row r="28" ht="30" customHeight="1" s="52"/>
    <row r="29" ht="30" customHeight="1" s="52"/>
    <row r="30" ht="30.75" customHeight="1" s="52"/>
    <row r="31" ht="30" customHeight="1" s="52"/>
    <row r="32" ht="30" customHeight="1" s="52"/>
    <row r="33" ht="30" customHeight="1" s="52"/>
    <row r="34" ht="30" customHeight="1" s="52"/>
    <row r="35" ht="30" customHeight="1" s="52"/>
    <row r="36" ht="30" customHeight="1" s="52"/>
    <row r="37" ht="30" customHeight="1" s="52"/>
    <row r="38" ht="30" customHeight="1" s="52"/>
    <row r="39" ht="30" customHeight="1" s="52"/>
    <row r="40" ht="30" customHeight="1" s="52"/>
    <row r="41" ht="30" customHeight="1" s="52"/>
    <row r="42" ht="30.75" customHeight="1" s="52"/>
    <row r="43" ht="30" customHeight="1" s="52"/>
    <row r="44" ht="30" customHeight="1" s="52"/>
    <row r="45" ht="30" customHeight="1" s="52"/>
    <row r="46" ht="30" customHeight="1" s="52"/>
    <row r="47" ht="30" customHeight="1" s="52"/>
    <row r="48" ht="30" customHeight="1" s="52"/>
    <row r="49" ht="30" customHeight="1" s="52"/>
    <row r="50" ht="30" customHeight="1" s="52"/>
    <row r="51" ht="30" customHeight="1" s="52"/>
    <row r="52" ht="30" customHeight="1" s="52"/>
    <row r="53" ht="30" customHeight="1" s="52"/>
    <row r="54" ht="30.75" customHeight="1" s="52"/>
    <row r="55" ht="30" customHeight="1" s="52"/>
    <row r="56" ht="30" customHeight="1" s="52"/>
    <row r="57" ht="30" customHeight="1" s="52"/>
    <row r="58" ht="24.9" customHeight="1" s="52"/>
    <row r="59" ht="17.1" customHeight="1" s="52"/>
    <row r="60" ht="17.1" customHeight="1" s="52"/>
    <row r="61" ht="17.1" customHeight="1" s="52"/>
    <row r="62" ht="17.1" customHeight="1" s="52"/>
    <row r="63" ht="17.1" customHeight="1" s="52"/>
    <row r="64" ht="17.1" customHeight="1" s="52"/>
    <row r="65" ht="17.1" customHeight="1" s="52"/>
    <row r="66" ht="17.1" customHeight="1" s="52"/>
    <row r="67" ht="17.1" customHeight="1" s="52"/>
    <row r="68" ht="17.1" customHeight="1" s="52"/>
    <row r="69" ht="17.1" customHeight="1" s="52"/>
    <row r="70" ht="17.1" customHeight="1" s="52"/>
    <row r="71" ht="17.1" customHeight="1" s="52"/>
    <row r="72" ht="17.1" customHeight="1" s="52"/>
    <row r="73" ht="17.1" customHeight="1" s="52"/>
    <row r="74" ht="17.1" customHeight="1" s="52"/>
    <row r="75" ht="17.1" customHeight="1" s="52"/>
    <row r="76" ht="17.1" customHeight="1" s="52"/>
    <row r="77" ht="17.1" customHeight="1" s="52"/>
    <row r="78" ht="17.1" customHeight="1" s="52"/>
    <row r="79" ht="17.1" customHeight="1" s="52"/>
    <row r="80" ht="17.1" customHeight="1" s="52"/>
    <row r="81" ht="17.1" customHeight="1" s="52"/>
    <row r="82" ht="17.1" customHeight="1" s="52"/>
    <row r="83" ht="17.1" customHeight="1" s="52"/>
    <row r="84" ht="17.1" customHeight="1" s="52"/>
    <row r="85" ht="17.1" customHeight="1" s="52"/>
    <row r="86" ht="17.1" customHeight="1" s="52"/>
    <row r="87" ht="17.1" customHeight="1" s="52"/>
    <row r="88" ht="17.1" customHeight="1" s="52"/>
    <row r="89" ht="17.1" customHeight="1" s="52"/>
    <row r="90" ht="17.1" customHeight="1" s="52"/>
    <row r="91" ht="17.1" customHeight="1" s="52"/>
    <row r="92" ht="17.1" customHeight="1" s="52"/>
    <row r="93" ht="17.1" customHeight="1" s="52"/>
    <row r="94" ht="17.1" customHeight="1" s="52"/>
    <row r="95" ht="17.1" customHeight="1" s="52"/>
    <row r="96" ht="17.1" customHeight="1" s="52"/>
    <row r="97" ht="17.1" customHeight="1" s="52"/>
    <row r="98" ht="17.1" customHeight="1" s="52"/>
    <row r="99" ht="17.1" customHeight="1" s="52"/>
    <row r="100" ht="17.1" customHeight="1" s="52"/>
    <row r="101" ht="17.1" customHeight="1" s="52"/>
    <row r="102" ht="17.1" customHeight="1" s="52"/>
    <row r="103" ht="17.1" customHeight="1" s="52"/>
    <row r="104" ht="17.1" customHeight="1" s="52"/>
    <row r="105" ht="17.1" customHeight="1" s="52"/>
    <row r="106" ht="17.1" customHeight="1" s="52"/>
    <row r="107" ht="17.1" customHeight="1" s="52"/>
    <row r="108" ht="17.1" customHeight="1" s="52"/>
    <row r="109" ht="17.1" customHeight="1" s="52"/>
    <row r="110" ht="17.1" customHeight="1" s="52"/>
    <row r="111" ht="17.1" customHeight="1" s="52"/>
    <row r="112" ht="17.1" customHeight="1" s="52"/>
    <row r="113" ht="17.1" customHeight="1" s="52"/>
    <row r="114" ht="17.1" customHeight="1" s="52"/>
    <row r="115" ht="17.1" customHeight="1" s="52"/>
    <row r="116" ht="17.1" customHeight="1" s="52"/>
    <row r="117" ht="17.1" customHeight="1" s="52"/>
    <row r="118" ht="17.1" customHeight="1" s="52"/>
    <row r="119" ht="17.1" customHeight="1" s="52"/>
    <row r="120" ht="17.1" customHeight="1" s="52"/>
    <row r="121" ht="17.1" customHeight="1" s="52"/>
    <row r="122" ht="17.1" customHeight="1" s="52"/>
    <row r="123" ht="17.1" customHeight="1" s="52"/>
    <row r="124" ht="17.1" customHeight="1" s="52"/>
    <row r="125" ht="17.1" customHeight="1" s="52"/>
    <row r="126" ht="17.1" customHeight="1" s="52"/>
    <row r="127" ht="17.1" customHeight="1" s="52"/>
    <row r="128" ht="17.1" customHeight="1" s="52"/>
    <row r="129" ht="17.1" customHeight="1" s="52"/>
    <row r="130" ht="17.1" customHeight="1" s="52"/>
    <row r="131" ht="17.1" customHeight="1" s="52"/>
    <row r="132" ht="17.1" customHeight="1" s="52"/>
    <row r="133" ht="17.1" customHeight="1" s="52"/>
    <row r="134" ht="17.1" customHeight="1" s="52"/>
    <row r="135" ht="17.1" customHeight="1" s="52"/>
    <row r="136" ht="17.1" customHeight="1" s="52"/>
    <row r="137" ht="17.1" customHeight="1" s="52"/>
    <row r="138" ht="17.1" customHeight="1" s="52"/>
    <row r="139" ht="17.1" customHeight="1" s="52"/>
    <row r="140" ht="17.1" customHeight="1" s="52"/>
    <row r="141" ht="17.1" customHeight="1" s="52"/>
    <row r="142" ht="17.1" customHeight="1" s="52"/>
    <row r="143" ht="17.1" customHeight="1" s="52"/>
    <row r="144" ht="17.1" customHeight="1" s="52"/>
    <row r="145" ht="17.1" customHeight="1" s="52"/>
    <row r="146" ht="17.1" customHeight="1" s="52"/>
    <row r="147" ht="17.1" customHeight="1" s="52"/>
    <row r="148" ht="17.1" customHeight="1" s="52"/>
    <row r="149" ht="17.1" customHeight="1" s="52"/>
  </sheetData>
  <mergeCells count="27">
    <mergeCell ref="L7:M7"/>
    <mergeCell ref="AG9:AG10"/>
    <mergeCell ref="AI9:AI10"/>
    <mergeCell ref="AE7:AO7"/>
    <mergeCell ref="AK9:AK10"/>
    <mergeCell ref="A7:A8"/>
    <mergeCell ref="AM9:AM10"/>
    <mergeCell ref="AF9:AF10"/>
    <mergeCell ref="AH9:AH10"/>
    <mergeCell ref="D7:D8"/>
    <mergeCell ref="Y7:Y8"/>
    <mergeCell ref="W7:X7"/>
    <mergeCell ref="A6:G6"/>
    <mergeCell ref="AE9:AE10"/>
    <mergeCell ref="C7:C8"/>
    <mergeCell ref="AO9:AO10"/>
    <mergeCell ref="BA7:BD7"/>
    <mergeCell ref="AQ7:AZ7"/>
    <mergeCell ref="AP7:AP8"/>
    <mergeCell ref="N7:V7"/>
    <mergeCell ref="BE7:BF7"/>
    <mergeCell ref="AJ9:AJ10"/>
    <mergeCell ref="AL9:AL10"/>
    <mergeCell ref="B7:B8"/>
    <mergeCell ref="AN9:AN10"/>
    <mergeCell ref="H7:K7"/>
    <mergeCell ref="AA7:AD7"/>
  </mergeCells>
  <conditionalFormatting sqref="X9 X50:X57">
    <cfRule type="expression" priority="15" dxfId="1">
      <formula>$X9&lt;$L9</formula>
    </cfRule>
    <cfRule type="expression" priority="16" dxfId="0">
      <formula>$X9&gt;=$L9</formula>
    </cfRule>
  </conditionalFormatting>
  <conditionalFormatting sqref="X46:X49">
    <cfRule type="expression" priority="13" dxfId="1">
      <formula>$X46&lt;$L46</formula>
    </cfRule>
    <cfRule type="expression" priority="14" dxfId="0">
      <formula>$X46&gt;=$L46</formula>
    </cfRule>
  </conditionalFormatting>
  <conditionalFormatting sqref="X38:X45">
    <cfRule type="expression" priority="11" dxfId="1">
      <formula>$X38&lt;$L38</formula>
    </cfRule>
    <cfRule type="expression" priority="12" dxfId="0">
      <formula>$X38&gt;=$L38</formula>
    </cfRule>
  </conditionalFormatting>
  <conditionalFormatting sqref="X34:X37">
    <cfRule type="expression" priority="9" dxfId="1">
      <formula>$X34&lt;$L34</formula>
    </cfRule>
    <cfRule type="expression" priority="10" dxfId="0">
      <formula>$X34&gt;=$L34</formula>
    </cfRule>
  </conditionalFormatting>
  <conditionalFormatting sqref="X26:X33">
    <cfRule type="expression" priority="7" dxfId="1">
      <formula>$X26&lt;$L26</formula>
    </cfRule>
    <cfRule type="expression" priority="8" dxfId="0">
      <formula>$X26&gt;=$L26</formula>
    </cfRule>
  </conditionalFormatting>
  <conditionalFormatting sqref="X22:X25">
    <cfRule type="expression" priority="5" dxfId="1">
      <formula>$X22&lt;$L22</formula>
    </cfRule>
    <cfRule type="expression" priority="6" dxfId="0">
      <formula>$X22&gt;=$L22</formula>
    </cfRule>
  </conditionalFormatting>
  <conditionalFormatting sqref="X14:X21">
    <cfRule type="expression" priority="3" dxfId="1">
      <formula>$X14&lt;$L14</formula>
    </cfRule>
    <cfRule type="expression" priority="4" dxfId="0">
      <formula>$X14&gt;=$L14</formula>
    </cfRule>
  </conditionalFormatting>
  <conditionalFormatting sqref="X10:X13">
    <cfRule type="expression" priority="1" dxfId="1">
      <formula>$X10&lt;$L10</formula>
    </cfRule>
    <cfRule type="expression" priority="2" dxfId="0">
      <formula>$X10&gt;=$L10</formula>
    </cfRule>
  </conditionalFormatting>
  <dataValidations disablePrompts="1" count="1">
    <dataValidation sqref="N65540:N65558 N131076:N131094 N196612:N196630 N262148:N262166 N327684:N327702 N393220:N393238 N458756:N458774 N524292:N524310 N589828:N589846 N655364:N655382 N720900:N720918 N786436:N786454 N851972:N851990 N917508:N917526 N983044:N983062" showDropDown="1" showInputMessage="1" showErrorMessage="0" allowBlank="1" type="list">
      <formula1>VRV機型</formula1>
    </dataValidation>
  </dataValidations>
  <printOptions horizontalCentered="1"/>
  <pageMargins left="0.3543307086614174" right="0.2755905511811024" top="0.5905511811023623" bottom="0.5905511811023623" header="0.4330708661417323" footer="0.5118110236220472"/>
  <pageSetup orientation="landscape" paperSize="9" scale="3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4">
    <outlinePr summaryBelow="1" summaryRight="1"/>
    <pageSetUpPr/>
  </sheetPr>
  <dimension ref="B2:AO312"/>
  <sheetViews>
    <sheetView topLeftCell="F214" zoomScaleNormal="100" workbookViewId="0">
      <selection activeCell="G237" sqref="G237"/>
    </sheetView>
  </sheetViews>
  <sheetFormatPr baseColWidth="8" defaultColWidth="7.88671875" defaultRowHeight="16.2"/>
  <cols>
    <col width="7.88671875" customWidth="1" style="21" min="1" max="1"/>
    <col width="31" bestFit="1" customWidth="1" style="21" min="2" max="2"/>
    <col width="16" bestFit="1" customWidth="1" style="21" min="3" max="3"/>
    <col width="9.6640625" customWidth="1" style="21" min="4" max="4"/>
    <col width="10.88671875" bestFit="1" customWidth="1" style="21" min="5" max="5"/>
    <col width="18" bestFit="1" customWidth="1" style="21" min="6" max="6"/>
    <col width="13.44140625" bestFit="1" customWidth="1" style="21" min="7" max="7"/>
    <col width="13.44140625" customWidth="1" style="21" min="8" max="8"/>
    <col width="15" bestFit="1" customWidth="1" style="21" min="9" max="9"/>
    <col width="15" customWidth="1" style="21" min="10" max="10"/>
    <col width="8" customWidth="1" style="20" min="11" max="11"/>
    <col width="7.77734375" customWidth="1" style="21" min="12" max="12"/>
    <col width="25.77734375" bestFit="1" customWidth="1" style="21" min="13" max="14"/>
    <col width="10.88671875" bestFit="1" customWidth="1" style="21" min="15" max="15"/>
    <col width="25.77734375" bestFit="1" customWidth="1" style="21" min="16" max="16"/>
    <col width="20.109375" customWidth="1" style="21" min="17" max="17"/>
    <col width="18" customWidth="1" style="21" min="18" max="20"/>
    <col width="7.88671875" customWidth="1" style="21" min="21" max="21"/>
    <col width="22.77734375" customWidth="1" style="21" min="22" max="22"/>
    <col width="10.88671875" customWidth="1" style="21" min="23" max="23"/>
    <col width="13.44140625" customWidth="1" style="21" min="24" max="24"/>
    <col width="19.6640625" bestFit="1" customWidth="1" style="21" min="25" max="25"/>
    <col width="17.6640625" customWidth="1" style="21" min="26" max="26"/>
    <col width="7.88671875" customWidth="1" style="21" min="27" max="27"/>
    <col width="18" bestFit="1" customWidth="1" style="21" min="28" max="28"/>
    <col width="18" customWidth="1" style="21" min="29" max="29"/>
    <col width="7.88671875" customWidth="1" style="21" min="30" max="31"/>
    <col width="16.21875" customWidth="1" style="21" min="32" max="32"/>
    <col width="7.88671875" customWidth="1" style="21" min="33" max="35"/>
    <col width="18.88671875" customWidth="1" style="21" min="36" max="36"/>
    <col width="16.109375" customWidth="1" style="21" min="37" max="37"/>
    <col width="7.88671875" customWidth="1" style="21" min="38" max="39"/>
    <col width="14.6640625" customWidth="1" style="21" min="40" max="40"/>
    <col width="7.88671875" customWidth="1" style="21" min="41" max="16384"/>
  </cols>
  <sheetData>
    <row r="2">
      <c r="B2" s="155" t="inlineStr">
        <is>
          <t>VRV室內機</t>
        </is>
      </c>
      <c r="M2" s="157" t="inlineStr">
        <is>
          <t>VRV室外機</t>
        </is>
      </c>
      <c r="N2" s="173" t="n"/>
      <c r="O2" s="173" t="n"/>
      <c r="P2" s="173" t="n"/>
      <c r="Q2" s="173" t="n"/>
      <c r="R2" s="174" t="n"/>
      <c r="S2" s="22" t="n"/>
      <c r="T2" s="22" t="n"/>
      <c r="V2" s="158" t="inlineStr">
        <is>
          <t>全熱交換器</t>
        </is>
      </c>
      <c r="W2" s="173" t="n"/>
      <c r="X2" s="173" t="n"/>
      <c r="Y2" s="173" t="n"/>
      <c r="Z2" s="174" t="n"/>
    </row>
    <row r="3" ht="48.6" customHeight="1" s="52">
      <c r="B3" s="23" t="inlineStr">
        <is>
          <t>型號</t>
        </is>
      </c>
      <c r="C3" s="214" t="inlineStr">
        <is>
          <t>冷房能力(kW)</t>
        </is>
      </c>
      <c r="D3" s="215" t="inlineStr">
        <is>
          <t>型式</t>
        </is>
      </c>
      <c r="E3" s="26" t="inlineStr">
        <is>
          <t>標稱能力</t>
        </is>
      </c>
      <c r="F3" s="27" t="inlineStr">
        <is>
          <t>電源(φ-V-Hz)</t>
        </is>
      </c>
      <c r="G3" s="27" t="inlineStr">
        <is>
          <t>耗電量(kW)</t>
        </is>
      </c>
      <c r="H3" s="27" t="inlineStr">
        <is>
          <t>電流(A)</t>
        </is>
      </c>
      <c r="I3" s="214" t="inlineStr">
        <is>
          <t>最高靜壓(Pa)</t>
        </is>
      </c>
      <c r="J3" s="214" t="inlineStr">
        <is>
          <t>尺寸mm
(H×W×D)</t>
        </is>
      </c>
      <c r="M3" s="28" t="inlineStr">
        <is>
          <t>型號</t>
        </is>
      </c>
      <c r="N3" s="216" t="inlineStr">
        <is>
          <t>冷房能力(kW)</t>
        </is>
      </c>
      <c r="O3" s="30" t="inlineStr">
        <is>
          <t>標稱能力</t>
        </is>
      </c>
      <c r="P3" s="28" t="inlineStr">
        <is>
          <t>耗電量(kW)</t>
        </is>
      </c>
      <c r="Q3" s="31" t="inlineStr">
        <is>
          <t>電源
(φ-W-V-Hz)</t>
        </is>
      </c>
      <c r="R3" s="27" t="inlineStr">
        <is>
          <t>額定冷房運轉電流
(A)</t>
        </is>
      </c>
      <c r="S3" s="27" t="inlineStr">
        <is>
          <t>保險絲最大電流
(A)</t>
        </is>
      </c>
      <c r="T3" s="214" t="inlineStr">
        <is>
          <t>尺寸mm
(H×W×D)</t>
        </is>
      </c>
      <c r="V3" s="23" t="inlineStr">
        <is>
          <t>型號</t>
        </is>
      </c>
      <c r="W3" s="27" t="inlineStr">
        <is>
          <t>電流(A)</t>
        </is>
      </c>
      <c r="X3" s="27" t="inlineStr">
        <is>
          <t>耗電量(kW)</t>
        </is>
      </c>
      <c r="Y3" s="27" t="inlineStr">
        <is>
          <t>電源(φ-V-Hz)</t>
        </is>
      </c>
      <c r="Z3" s="214" t="inlineStr">
        <is>
          <t>尺寸mm
(H×W×D)</t>
        </is>
      </c>
    </row>
    <row r="4">
      <c r="B4" s="32" t="inlineStr">
        <is>
          <t>吊隱式低靜壓(無排水泵)</t>
        </is>
      </c>
      <c r="C4" s="26" t="n"/>
      <c r="D4" s="26" t="n"/>
      <c r="E4" s="26" t="n"/>
      <c r="F4" s="26" t="n"/>
      <c r="G4" s="26" t="n"/>
      <c r="H4" s="26" t="n"/>
      <c r="I4" s="26" t="n"/>
      <c r="J4" s="26" t="n"/>
      <c r="L4" s="33" t="n"/>
      <c r="M4" s="23" t="inlineStr">
        <is>
          <t>VRV mini</t>
        </is>
      </c>
      <c r="N4" s="26" t="n"/>
      <c r="O4" s="26" t="n"/>
      <c r="P4" s="26" t="n"/>
      <c r="Q4" s="26" t="n"/>
      <c r="R4" s="26" t="n"/>
      <c r="S4" s="26" t="n"/>
      <c r="T4" s="26" t="n"/>
      <c r="V4" s="26" t="inlineStr">
        <is>
          <t>VAM150HVLT</t>
        </is>
      </c>
      <c r="W4" s="26" t="n">
        <v>0.61</v>
      </c>
      <c r="X4" s="26" t="n">
        <v>0.132</v>
      </c>
      <c r="Y4" s="26" t="inlineStr">
        <is>
          <t>單相/220V/60Hz</t>
        </is>
      </c>
      <c r="Z4" s="26" t="inlineStr">
        <is>
          <t>278×551×810</t>
        </is>
      </c>
      <c r="AA4" s="20" t="n"/>
    </row>
    <row r="5">
      <c r="B5" s="26" t="inlineStr">
        <is>
          <t>FXDQ20PDNVT</t>
        </is>
      </c>
      <c r="C5" s="26" t="n">
        <v>2.2</v>
      </c>
      <c r="D5" s="23" t="inlineStr">
        <is>
          <t>吊隱式</t>
        </is>
      </c>
      <c r="E5" s="26" t="n">
        <v>20</v>
      </c>
      <c r="F5" s="26" t="inlineStr">
        <is>
          <t>單相/220V/60Hz</t>
        </is>
      </c>
      <c r="G5" s="26" t="n">
        <v>0.092</v>
      </c>
      <c r="H5" s="26" t="n">
        <v>0.7</v>
      </c>
      <c r="I5" s="26" t="n">
        <v>30</v>
      </c>
      <c r="J5" s="26" t="inlineStr">
        <is>
          <t>200×700×620</t>
        </is>
      </c>
      <c r="L5" s="33" t="n"/>
      <c r="M5" s="26" t="inlineStr">
        <is>
          <t>RXYCQ4AVET</t>
        </is>
      </c>
      <c r="N5" s="26" t="n">
        <v>11.2</v>
      </c>
      <c r="O5" s="26">
        <f>25*4</f>
        <v/>
      </c>
      <c r="P5" s="26" t="n">
        <v>3.47</v>
      </c>
      <c r="Q5" s="26" t="inlineStr">
        <is>
          <t>單相/220V/60Hz</t>
        </is>
      </c>
      <c r="R5" s="26" t="n">
        <v>17.1</v>
      </c>
      <c r="S5" s="26" t="n">
        <v>25</v>
      </c>
      <c r="T5" s="26" t="inlineStr">
        <is>
          <t>990×940×320</t>
        </is>
      </c>
      <c r="V5" s="26" t="inlineStr">
        <is>
          <t>VAM250HVLT</t>
        </is>
      </c>
      <c r="W5" s="26" t="n">
        <v>0.8100000000000001</v>
      </c>
      <c r="X5" s="26" t="n">
        <v>0.172</v>
      </c>
      <c r="Y5" s="26" t="inlineStr">
        <is>
          <t>單相/220V/60Hz</t>
        </is>
      </c>
      <c r="Z5" s="26" t="inlineStr">
        <is>
          <t>278×551×810</t>
        </is>
      </c>
      <c r="AA5" s="20" t="n"/>
    </row>
    <row r="6">
      <c r="B6" s="26" t="inlineStr">
        <is>
          <t>FXDQ25PDNVT</t>
        </is>
      </c>
      <c r="C6" s="26" t="n">
        <v>2.8</v>
      </c>
      <c r="D6" s="23" t="inlineStr">
        <is>
          <t>吊隱式</t>
        </is>
      </c>
      <c r="E6" s="26" t="n">
        <v>25</v>
      </c>
      <c r="F6" s="26" t="inlineStr">
        <is>
          <t>單相/220V/60Hz</t>
        </is>
      </c>
      <c r="G6" s="26" t="n">
        <v>0.092</v>
      </c>
      <c r="H6" s="26" t="n">
        <v>0.7</v>
      </c>
      <c r="I6" s="26" t="n">
        <v>30</v>
      </c>
      <c r="J6" s="26" t="inlineStr">
        <is>
          <t>200×700×620</t>
        </is>
      </c>
      <c r="L6" s="33" t="n"/>
      <c r="M6" s="26" t="inlineStr">
        <is>
          <t>RXYCQ5AVET</t>
        </is>
      </c>
      <c r="N6" s="26" t="n">
        <v>12.5</v>
      </c>
      <c r="O6" s="26" t="n">
        <v>112</v>
      </c>
      <c r="P6" s="26" t="n">
        <v>3.34</v>
      </c>
      <c r="Q6" s="26" t="inlineStr">
        <is>
          <t>單相/220V/60Hz</t>
        </is>
      </c>
      <c r="R6" s="26" t="n">
        <v>16.2</v>
      </c>
      <c r="S6" s="26" t="n">
        <v>30</v>
      </c>
      <c r="T6" s="26" t="inlineStr">
        <is>
          <t>990×940×320</t>
        </is>
      </c>
      <c r="V6" s="26" t="inlineStr">
        <is>
          <t>VAM350HVLT</t>
        </is>
      </c>
      <c r="W6" s="26" t="n">
        <v>1.06</v>
      </c>
      <c r="X6" s="26" t="n">
        <v>0.231</v>
      </c>
      <c r="Y6" s="26" t="inlineStr">
        <is>
          <t>單相/220V/60Hz</t>
        </is>
      </c>
      <c r="Z6" s="26" t="inlineStr">
        <is>
          <t>306×800×879</t>
        </is>
      </c>
      <c r="AA6" s="20" t="n"/>
    </row>
    <row r="7">
      <c r="B7" s="26" t="inlineStr">
        <is>
          <t>FXDQ32PDNVT</t>
        </is>
      </c>
      <c r="C7" s="26" t="n">
        <v>3.6</v>
      </c>
      <c r="D7" s="23" t="inlineStr">
        <is>
          <t>吊隱式</t>
        </is>
      </c>
      <c r="E7" s="26" t="n">
        <v>31.25</v>
      </c>
      <c r="F7" s="26" t="inlineStr">
        <is>
          <t>單相/220V/60Hz</t>
        </is>
      </c>
      <c r="G7" s="26" t="n">
        <v>0.095</v>
      </c>
      <c r="H7" s="26" t="n">
        <v>0.7</v>
      </c>
      <c r="I7" s="26" t="n">
        <v>30</v>
      </c>
      <c r="J7" s="26" t="inlineStr">
        <is>
          <t>200×700×620</t>
        </is>
      </c>
      <c r="L7" s="33" t="n"/>
      <c r="M7" s="26" t="inlineStr">
        <is>
          <t>RXYCQ6AVET</t>
        </is>
      </c>
      <c r="N7" s="26" t="n">
        <v>14</v>
      </c>
      <c r="O7" s="26" t="n">
        <v>125</v>
      </c>
      <c r="P7" s="26" t="n">
        <v>4.21</v>
      </c>
      <c r="Q7" s="26" t="inlineStr">
        <is>
          <t>單相/220V/60Hz</t>
        </is>
      </c>
      <c r="R7" s="26" t="n">
        <v>20.4</v>
      </c>
      <c r="S7" s="26" t="n">
        <v>30</v>
      </c>
      <c r="T7" s="26" t="inlineStr">
        <is>
          <t>990×940×320</t>
        </is>
      </c>
      <c r="V7" s="26" t="inlineStr">
        <is>
          <t>VAM500HVLT</t>
        </is>
      </c>
      <c r="W7" s="26" t="n">
        <v>1.92</v>
      </c>
      <c r="X7" s="26" t="n">
        <v>0.39</v>
      </c>
      <c r="Y7" s="26" t="inlineStr">
        <is>
          <t>單相/220V/60Hz</t>
        </is>
      </c>
      <c r="Z7" s="26" t="inlineStr">
        <is>
          <t>338×832×973</t>
        </is>
      </c>
      <c r="AA7" s="20" t="n"/>
    </row>
    <row r="8">
      <c r="B8" s="26" t="inlineStr">
        <is>
          <t>FXDQ40NDNVT</t>
        </is>
      </c>
      <c r="C8" s="26" t="n">
        <v>4.5</v>
      </c>
      <c r="D8" s="23" t="inlineStr">
        <is>
          <t>吊隱式</t>
        </is>
      </c>
      <c r="E8" s="26" t="n">
        <v>40</v>
      </c>
      <c r="F8" s="26" t="inlineStr">
        <is>
          <t>單相/220V/60Hz</t>
        </is>
      </c>
      <c r="G8" s="26" t="n">
        <v>0.182</v>
      </c>
      <c r="H8" s="26" t="n">
        <v>0.9</v>
      </c>
      <c r="I8" s="26" t="n">
        <v>44</v>
      </c>
      <c r="J8" s="26" t="inlineStr">
        <is>
          <t>200×900×620</t>
        </is>
      </c>
      <c r="L8" s="33" t="n"/>
      <c r="V8" s="26" t="inlineStr">
        <is>
          <t>VAM650HVLT</t>
        </is>
      </c>
      <c r="W8" s="26" t="n">
        <v>2.16</v>
      </c>
      <c r="X8" s="26" t="n">
        <v>0.472</v>
      </c>
      <c r="Y8" s="26" t="inlineStr">
        <is>
          <t>單相/220V/60Hz</t>
        </is>
      </c>
      <c r="Z8" s="26" t="inlineStr">
        <is>
          <t>338×832×973</t>
        </is>
      </c>
      <c r="AA8" s="20" t="n"/>
    </row>
    <row r="9">
      <c r="B9" s="26" t="inlineStr">
        <is>
          <t>FXDQ50NDNVT</t>
        </is>
      </c>
      <c r="C9" s="26" t="n">
        <v>5.6</v>
      </c>
      <c r="D9" s="23" t="inlineStr">
        <is>
          <t>吊隱式</t>
        </is>
      </c>
      <c r="E9" s="26" t="n">
        <v>50</v>
      </c>
      <c r="F9" s="26" t="inlineStr">
        <is>
          <t>單相/220V/60Hz</t>
        </is>
      </c>
      <c r="G9" s="26" t="n">
        <v>0.185</v>
      </c>
      <c r="H9" s="26" t="n">
        <v>1</v>
      </c>
      <c r="I9" s="26" t="n">
        <v>44</v>
      </c>
      <c r="J9" s="26" t="inlineStr">
        <is>
          <t>200×900×620</t>
        </is>
      </c>
      <c r="L9" s="33" t="n"/>
      <c r="M9" s="26" t="inlineStr">
        <is>
          <t>VRV TBM</t>
        </is>
      </c>
      <c r="N9" s="26" t="n"/>
      <c r="O9" s="26" t="n"/>
      <c r="P9" s="26" t="n"/>
      <c r="Q9" s="26" t="n"/>
      <c r="R9" s="26" t="n"/>
      <c r="V9" s="26" t="inlineStr">
        <is>
          <t>VAM800HVLT</t>
        </is>
      </c>
      <c r="W9" s="26" t="n">
        <v>3.81</v>
      </c>
      <c r="X9" s="26" t="n">
        <v>0.829</v>
      </c>
      <c r="Y9" s="26" t="inlineStr">
        <is>
          <t>單相/220V/60Hz</t>
        </is>
      </c>
      <c r="Z9" s="26" t="inlineStr">
        <is>
          <t>387×1012×1110</t>
        </is>
      </c>
      <c r="AA9" s="20" t="n"/>
    </row>
    <row r="10">
      <c r="B10" s="26" t="inlineStr">
        <is>
          <t>FXDQ63NDNVT</t>
        </is>
      </c>
      <c r="C10" s="26" t="n">
        <v>7.1</v>
      </c>
      <c r="D10" s="23" t="inlineStr">
        <is>
          <t>吊隱式</t>
        </is>
      </c>
      <c r="E10" s="26" t="n">
        <v>62.5</v>
      </c>
      <c r="F10" s="26" t="inlineStr">
        <is>
          <t>單相/220V/60Hz</t>
        </is>
      </c>
      <c r="G10" s="26" t="n">
        <v>0.192</v>
      </c>
      <c r="H10" s="26" t="n">
        <v>1.1</v>
      </c>
      <c r="I10" s="26" t="n">
        <v>44</v>
      </c>
      <c r="J10" s="26" t="inlineStr">
        <is>
          <t>200×1100×620</t>
        </is>
      </c>
      <c r="L10" s="33" t="n"/>
      <c r="M10" s="26" t="inlineStr">
        <is>
          <t>RSUYQ112AVT</t>
        </is>
      </c>
      <c r="N10" s="26" t="n">
        <v>11.2</v>
      </c>
      <c r="O10" s="26" t="n">
        <v>100</v>
      </c>
      <c r="P10" s="26" t="n">
        <v>2.25</v>
      </c>
      <c r="Q10" s="26" t="inlineStr">
        <is>
          <t>單相/220V/60Hz</t>
        </is>
      </c>
      <c r="R10" s="26" t="n">
        <v>10.4</v>
      </c>
      <c r="S10" s="26" t="n">
        <v>25</v>
      </c>
      <c r="T10" s="26" t="inlineStr">
        <is>
          <t>870×1100×460</t>
        </is>
      </c>
      <c r="V10" s="26" t="inlineStr">
        <is>
          <t>VAM1000HVLT</t>
        </is>
      </c>
      <c r="W10" s="26" t="n">
        <v>4.04</v>
      </c>
      <c r="X10" s="26" t="n">
        <v>0.883</v>
      </c>
      <c r="Y10" s="26" t="inlineStr">
        <is>
          <t>單相/220V/60Hz</t>
        </is>
      </c>
      <c r="Z10" s="26" t="inlineStr">
        <is>
          <t>387×1012×1110</t>
        </is>
      </c>
      <c r="AA10" s="20" t="n"/>
    </row>
    <row r="11">
      <c r="L11" s="33" t="n"/>
      <c r="M11" s="26" t="inlineStr">
        <is>
          <t>RSUYQ125AVT</t>
        </is>
      </c>
      <c r="N11" s="26" t="n">
        <v>12.5</v>
      </c>
      <c r="O11" s="26" t="n">
        <v>112.5</v>
      </c>
      <c r="P11" s="26" t="n">
        <v>2.66</v>
      </c>
      <c r="Q11" s="26" t="inlineStr">
        <is>
          <t>單相/220V/60Hz</t>
        </is>
      </c>
      <c r="R11" s="26" t="n">
        <v>12.4</v>
      </c>
      <c r="S11" s="26" t="n">
        <v>30</v>
      </c>
      <c r="T11" s="26" t="inlineStr">
        <is>
          <t>870×1100×460</t>
        </is>
      </c>
      <c r="V11" s="26" t="inlineStr">
        <is>
          <t>VAM1500HVLT</t>
        </is>
      </c>
      <c r="W11" s="26" t="n">
        <v>7.55</v>
      </c>
      <c r="X11" s="26" t="n">
        <v>1.645</v>
      </c>
      <c r="Y11" s="26" t="inlineStr">
        <is>
          <t>單相/220V/60Hz</t>
        </is>
      </c>
      <c r="Z11" s="26" t="inlineStr">
        <is>
          <t>785×1012×1110</t>
        </is>
      </c>
      <c r="AA11" s="20" t="n"/>
    </row>
    <row r="12">
      <c r="B12" s="32" t="inlineStr">
        <is>
          <t>吊隱式低靜壓(有排水泵)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L12" s="33" t="n"/>
      <c r="M12" s="26" t="inlineStr">
        <is>
          <t>RSUYQ140AVT</t>
        </is>
      </c>
      <c r="N12" s="26" t="n">
        <v>14</v>
      </c>
      <c r="O12" s="26" t="n">
        <v>125</v>
      </c>
      <c r="P12" s="26" t="n">
        <v>3.08</v>
      </c>
      <c r="Q12" s="26" t="inlineStr">
        <is>
          <t>單相/220V/60Hz</t>
        </is>
      </c>
      <c r="R12" s="26" t="n">
        <v>14</v>
      </c>
      <c r="S12" s="26" t="n">
        <v>30</v>
      </c>
      <c r="T12" s="26" t="inlineStr">
        <is>
          <t>870×1100×460</t>
        </is>
      </c>
      <c r="V12" s="26" t="inlineStr">
        <is>
          <t>VAM2000HVLT</t>
        </is>
      </c>
      <c r="W12" s="26" t="n">
        <v>8.07</v>
      </c>
      <c r="X12" s="26" t="n">
        <v>1.763</v>
      </c>
      <c r="Y12" s="26" t="inlineStr">
        <is>
          <t>單相/220V/60Hz</t>
        </is>
      </c>
      <c r="Z12" s="26" t="inlineStr">
        <is>
          <t>785×1012×1110</t>
        </is>
      </c>
      <c r="AA12" s="20" t="n"/>
    </row>
    <row r="13">
      <c r="B13" s="26" t="inlineStr">
        <is>
          <t>FXDQ20PDVT</t>
        </is>
      </c>
      <c r="C13" s="26" t="n">
        <v>2.2</v>
      </c>
      <c r="D13" s="23" t="inlineStr">
        <is>
          <t>吊隱式</t>
        </is>
      </c>
      <c r="E13" s="26" t="n">
        <v>20</v>
      </c>
      <c r="F13" s="26" t="inlineStr">
        <is>
          <t>單相/220V/60Hz</t>
        </is>
      </c>
      <c r="G13" s="26" t="n">
        <v>0.092</v>
      </c>
      <c r="H13" s="26" t="n">
        <v>0.7</v>
      </c>
      <c r="I13" s="26" t="n">
        <v>30</v>
      </c>
      <c r="J13" s="26" t="inlineStr">
        <is>
          <t>200×700×620</t>
        </is>
      </c>
      <c r="L13" s="33" t="n"/>
      <c r="M13" s="26" t="inlineStr">
        <is>
          <t>RSUYQ160AVT</t>
        </is>
      </c>
      <c r="N13" s="26" t="n">
        <v>16</v>
      </c>
      <c r="O13" s="26" t="n">
        <v>150</v>
      </c>
      <c r="P13" s="26" t="n">
        <v>3.97</v>
      </c>
      <c r="Q13" s="26" t="inlineStr">
        <is>
          <t>單相/220V/60Hz</t>
        </is>
      </c>
      <c r="R13" s="26" t="n">
        <v>18.1</v>
      </c>
      <c r="S13" s="26" t="n">
        <v>30</v>
      </c>
      <c r="T13" s="26" t="inlineStr">
        <is>
          <t>870×1100×460</t>
        </is>
      </c>
      <c r="V13" s="26" t="inlineStr">
        <is>
          <t>VAMF150HVLT</t>
        </is>
      </c>
      <c r="W13" s="26" t="n">
        <v>0.61</v>
      </c>
      <c r="X13" s="26" t="n">
        <v>0.132</v>
      </c>
      <c r="Y13" s="26" t="inlineStr">
        <is>
          <t>單相/220V/60Hz</t>
        </is>
      </c>
      <c r="Z13" s="26" t="inlineStr">
        <is>
          <t>278×551×810</t>
        </is>
      </c>
      <c r="AA13" s="20" t="n"/>
    </row>
    <row r="14">
      <c r="B14" s="26" t="inlineStr">
        <is>
          <t>FXDQ25PDVT</t>
        </is>
      </c>
      <c r="C14" s="26" t="n">
        <v>2.8</v>
      </c>
      <c r="D14" s="23" t="inlineStr">
        <is>
          <t>吊隱式</t>
        </is>
      </c>
      <c r="E14" s="26" t="n">
        <v>25</v>
      </c>
      <c r="F14" s="26" t="inlineStr">
        <is>
          <t>單相/220V/60Hz</t>
        </is>
      </c>
      <c r="G14" s="26" t="n">
        <v>0.092</v>
      </c>
      <c r="H14" s="26" t="n">
        <v>0.7</v>
      </c>
      <c r="I14" s="26" t="n">
        <v>30</v>
      </c>
      <c r="J14" s="26" t="inlineStr">
        <is>
          <t>200×700×620</t>
        </is>
      </c>
      <c r="L14" s="33" t="n"/>
      <c r="V14" s="26" t="inlineStr">
        <is>
          <t>VAMF250HVLT</t>
        </is>
      </c>
      <c r="W14" s="26" t="n">
        <v>0.8100000000000001</v>
      </c>
      <c r="X14" s="26" t="n">
        <v>0.172</v>
      </c>
      <c r="Y14" s="26" t="inlineStr">
        <is>
          <t>單相/220V/60Hz</t>
        </is>
      </c>
      <c r="Z14" s="26" t="inlineStr">
        <is>
          <t>278×551×810</t>
        </is>
      </c>
    </row>
    <row r="15">
      <c r="B15" s="26" t="inlineStr">
        <is>
          <t>FXDQ32PDVT</t>
        </is>
      </c>
      <c r="C15" s="26" t="n">
        <v>3.6</v>
      </c>
      <c r="D15" s="23" t="inlineStr">
        <is>
          <t>吊隱式</t>
        </is>
      </c>
      <c r="E15" s="26" t="n">
        <v>31.25</v>
      </c>
      <c r="F15" s="26" t="inlineStr">
        <is>
          <t>單相/220V/60Hz</t>
        </is>
      </c>
      <c r="G15" s="26" t="n">
        <v>0.095</v>
      </c>
      <c r="H15" s="26" t="n">
        <v>0.7</v>
      </c>
      <c r="I15" s="26" t="n">
        <v>30</v>
      </c>
      <c r="J15" s="26" t="inlineStr">
        <is>
          <t>200×700×620</t>
        </is>
      </c>
      <c r="M15" s="23" t="inlineStr">
        <is>
          <t>VRV IV-S</t>
        </is>
      </c>
      <c r="N15" s="26" t="n"/>
      <c r="O15" s="26" t="n"/>
      <c r="P15" s="26" t="n"/>
      <c r="Q15" s="26" t="n"/>
      <c r="R15" s="26" t="n"/>
      <c r="V15" s="26" t="inlineStr">
        <is>
          <t>VAMF350HVLT</t>
        </is>
      </c>
      <c r="W15" s="26" t="n">
        <v>1.06</v>
      </c>
      <c r="X15" s="26" t="n">
        <v>0.231</v>
      </c>
      <c r="Y15" s="26" t="inlineStr">
        <is>
          <t>單相/220V/60Hz</t>
        </is>
      </c>
      <c r="Z15" s="26" t="inlineStr">
        <is>
          <t>306×800×879</t>
        </is>
      </c>
    </row>
    <row r="16">
      <c r="B16" s="26" t="inlineStr">
        <is>
          <t>FXDQ40NDVT</t>
        </is>
      </c>
      <c r="C16" s="26" t="n">
        <v>4.5</v>
      </c>
      <c r="D16" s="23" t="inlineStr">
        <is>
          <t>吊隱式</t>
        </is>
      </c>
      <c r="E16" s="26" t="n">
        <v>40</v>
      </c>
      <c r="F16" s="26" t="inlineStr">
        <is>
          <t>單相/220V/60Hz</t>
        </is>
      </c>
      <c r="G16" s="26" t="n">
        <v>0.182</v>
      </c>
      <c r="H16" s="26" t="n">
        <v>0.9</v>
      </c>
      <c r="I16" s="26" t="n">
        <v>44</v>
      </c>
      <c r="J16" s="26" t="inlineStr">
        <is>
          <t>200×900×620</t>
        </is>
      </c>
      <c r="M16" s="26" t="inlineStr">
        <is>
          <t>RXYMQ8TTLT</t>
        </is>
      </c>
      <c r="N16" s="26" t="n">
        <v>22.4</v>
      </c>
      <c r="O16" s="26">
        <f>8*25</f>
        <v/>
      </c>
      <c r="P16" s="26" t="n">
        <v>6.3</v>
      </c>
      <c r="Q16" s="26" t="inlineStr">
        <is>
          <t>3相/220V/60Hz</t>
        </is>
      </c>
      <c r="R16" s="26" t="n">
        <v>17.9</v>
      </c>
      <c r="S16" s="26" t="n">
        <v>30</v>
      </c>
      <c r="T16" s="26" t="inlineStr">
        <is>
          <t>1430×940×320</t>
        </is>
      </c>
      <c r="Y16" s="20" t="n"/>
    </row>
    <row r="17">
      <c r="B17" s="26" t="inlineStr">
        <is>
          <t>FXDQ50NDVT</t>
        </is>
      </c>
      <c r="C17" s="26" t="n">
        <v>5.6</v>
      </c>
      <c r="D17" s="23" t="inlineStr">
        <is>
          <t>吊隱式</t>
        </is>
      </c>
      <c r="E17" s="26" t="n">
        <v>50</v>
      </c>
      <c r="F17" s="26" t="inlineStr">
        <is>
          <t>單相/220V/60Hz</t>
        </is>
      </c>
      <c r="G17" s="26" t="n">
        <v>0.185</v>
      </c>
      <c r="H17" s="26" t="n">
        <v>1</v>
      </c>
      <c r="I17" s="26" t="n">
        <v>44</v>
      </c>
      <c r="J17" s="26" t="inlineStr">
        <is>
          <t>200×900×620</t>
        </is>
      </c>
      <c r="M17" s="26" t="inlineStr">
        <is>
          <t>RXYMQ10TTLT</t>
        </is>
      </c>
      <c r="N17" s="26" t="n">
        <v>25</v>
      </c>
      <c r="O17" s="26" t="n">
        <v>223</v>
      </c>
      <c r="P17" s="26" t="n">
        <v>7.8</v>
      </c>
      <c r="Q17" s="26" t="inlineStr">
        <is>
          <t>3相/220V/60Hz</t>
        </is>
      </c>
      <c r="R17" s="26" t="n">
        <v>22</v>
      </c>
      <c r="S17" s="26" t="n">
        <v>30</v>
      </c>
      <c r="T17" s="26" t="inlineStr">
        <is>
          <t>1430×940×320</t>
        </is>
      </c>
      <c r="V17" s="158" t="inlineStr">
        <is>
          <t>新鮮外氣建議量(2019綠建築)</t>
        </is>
      </c>
      <c r="W17" s="173" t="n"/>
      <c r="X17" s="173" t="n"/>
      <c r="Y17" s="174" t="n"/>
    </row>
    <row r="18">
      <c r="B18" s="26" t="inlineStr">
        <is>
          <t>FXDQ63NDVT</t>
        </is>
      </c>
      <c r="C18" s="26" t="n">
        <v>7.1</v>
      </c>
      <c r="D18" s="23" t="inlineStr">
        <is>
          <t>吊隱式</t>
        </is>
      </c>
      <c r="E18" s="26" t="n">
        <v>62.5</v>
      </c>
      <c r="F18" s="26" t="inlineStr">
        <is>
          <t>單相/220V/60Hz</t>
        </is>
      </c>
      <c r="G18" s="26" t="n">
        <v>0.192</v>
      </c>
      <c r="H18" s="26" t="n">
        <v>1.1</v>
      </c>
      <c r="I18" s="26" t="n">
        <v>44</v>
      </c>
      <c r="J18" s="26" t="inlineStr">
        <is>
          <t>200×1100×620</t>
        </is>
      </c>
      <c r="V18" s="26" t="inlineStr">
        <is>
          <t>類型</t>
        </is>
      </c>
      <c r="W18" s="26" t="inlineStr">
        <is>
          <t>L/s．人</t>
        </is>
      </c>
      <c r="X18" s="26" t="inlineStr">
        <is>
          <t>CMH．人</t>
        </is>
      </c>
      <c r="Y18" s="26" t="inlineStr">
        <is>
          <t>備註</t>
        </is>
      </c>
    </row>
    <row r="19">
      <c r="M19" s="23" t="inlineStr">
        <is>
          <t>VRV III-S</t>
        </is>
      </c>
      <c r="N19" s="26" t="n"/>
      <c r="O19" s="26" t="n"/>
      <c r="P19" s="26" t="n"/>
      <c r="Q19" s="26" t="n"/>
      <c r="R19" s="26" t="n"/>
      <c r="V19" s="26" t="inlineStr">
        <is>
          <t>辦公室</t>
        </is>
      </c>
      <c r="W19" s="26" t="n">
        <v>8.5</v>
      </c>
      <c r="X19" s="26">
        <f>W19*3600/1000</f>
        <v/>
      </c>
      <c r="Y19" s="26" t="n"/>
    </row>
    <row r="20">
      <c r="B20" s="32" t="inlineStr">
        <is>
          <t>吊隱式中靜壓</t>
        </is>
      </c>
      <c r="C20" s="26" t="n"/>
      <c r="D20" s="23" t="n"/>
      <c r="E20" s="26" t="n"/>
      <c r="F20" s="26" t="n"/>
      <c r="G20" s="26" t="n"/>
      <c r="H20" s="26" t="n"/>
      <c r="I20" s="26" t="n"/>
      <c r="J20" s="26" t="n"/>
      <c r="M20" s="26" t="inlineStr">
        <is>
          <t>RXYMQ6TVET</t>
        </is>
      </c>
      <c r="N20" s="26" t="n">
        <v>15.5</v>
      </c>
      <c r="O20" s="26" t="n">
        <v>140</v>
      </c>
      <c r="P20" s="26" t="n">
        <v>4.35</v>
      </c>
      <c r="Q20" s="26" t="inlineStr">
        <is>
          <t>單相/220V/60Hz</t>
        </is>
      </c>
      <c r="R20" s="26" t="n">
        <v>21.1</v>
      </c>
      <c r="S20" s="26" t="n">
        <v>30</v>
      </c>
      <c r="T20" s="26" t="inlineStr">
        <is>
          <t>1430×940×320</t>
        </is>
      </c>
      <c r="V20" s="26" t="inlineStr">
        <is>
          <t>會議室</t>
        </is>
      </c>
      <c r="W20" s="26" t="n">
        <v>3.1</v>
      </c>
      <c r="X20" s="26">
        <f>W20*3600/1000</f>
        <v/>
      </c>
      <c r="Y20" s="26" t="n"/>
    </row>
    <row r="21">
      <c r="B21" s="26" t="inlineStr">
        <is>
          <t>FXSQ20PAVT</t>
        </is>
      </c>
      <c r="C21" s="26" t="n">
        <v>2.2</v>
      </c>
      <c r="D21" s="23" t="inlineStr">
        <is>
          <t>吊隱式</t>
        </is>
      </c>
      <c r="E21" s="26" t="n">
        <v>20</v>
      </c>
      <c r="F21" s="26" t="inlineStr">
        <is>
          <t>單相/220V/60Hz</t>
        </is>
      </c>
      <c r="G21" s="26" t="n">
        <v>0.058</v>
      </c>
      <c r="H21" s="26" t="n">
        <v>0.6</v>
      </c>
      <c r="I21" s="26" t="n">
        <v>150</v>
      </c>
      <c r="J21" s="26" t="inlineStr">
        <is>
          <t>245×550×800</t>
        </is>
      </c>
      <c r="M21" s="26" t="inlineStr">
        <is>
          <t>RXYMQ8TYLT</t>
        </is>
      </c>
      <c r="N21" s="26" t="n">
        <v>20</v>
      </c>
      <c r="O21" s="26" t="n">
        <v>180</v>
      </c>
      <c r="P21" s="26" t="n">
        <v>5.91</v>
      </c>
      <c r="Q21" s="26" t="inlineStr">
        <is>
          <t>3相/4線/380V/60Hz</t>
        </is>
      </c>
      <c r="R21" s="26" t="n">
        <v>11</v>
      </c>
      <c r="S21" s="26" t="n">
        <v>25</v>
      </c>
      <c r="T21" s="26" t="inlineStr">
        <is>
          <t>1430×940×320</t>
        </is>
      </c>
      <c r="V21" s="26" t="inlineStr">
        <is>
          <t>大廳、走廊</t>
        </is>
      </c>
      <c r="W21" s="26" t="n">
        <v>5.5</v>
      </c>
      <c r="X21" s="26">
        <f>W21*3600/1000</f>
        <v/>
      </c>
      <c r="Y21" s="26" t="n"/>
    </row>
    <row r="22">
      <c r="B22" s="26" t="inlineStr">
        <is>
          <t>FXSQ25PAVT</t>
        </is>
      </c>
      <c r="C22" s="26" t="n">
        <v>2.8</v>
      </c>
      <c r="D22" s="23" t="inlineStr">
        <is>
          <t>吊隱式</t>
        </is>
      </c>
      <c r="E22" s="26" t="n">
        <v>25</v>
      </c>
      <c r="F22" s="26" t="inlineStr">
        <is>
          <t>單相/220V/60Hz</t>
        </is>
      </c>
      <c r="G22" s="26" t="n">
        <v>0.058</v>
      </c>
      <c r="H22" s="26" t="n">
        <v>0.6</v>
      </c>
      <c r="I22" s="26" t="n">
        <v>150</v>
      </c>
      <c r="J22" s="26" t="inlineStr">
        <is>
          <t>245×550×800</t>
        </is>
      </c>
      <c r="M22" s="26" t="inlineStr">
        <is>
          <t>RXYMQ10TYLT</t>
        </is>
      </c>
      <c r="N22" s="26" t="n">
        <v>24</v>
      </c>
      <c r="O22" s="26" t="n">
        <v>215</v>
      </c>
      <c r="P22" s="26" t="n">
        <v>7.51</v>
      </c>
      <c r="Q22" s="26" t="inlineStr">
        <is>
          <t>3相/4線/380V/60Hz</t>
        </is>
      </c>
      <c r="R22" s="26" t="n">
        <v>14.1</v>
      </c>
      <c r="S22" s="26" t="n">
        <v>25</v>
      </c>
      <c r="T22" s="26" t="inlineStr">
        <is>
          <t>1430×940×320</t>
        </is>
      </c>
      <c r="V22" s="26" t="inlineStr">
        <is>
          <t>旅館客房</t>
        </is>
      </c>
      <c r="W22" s="26" t="n">
        <v>5.5</v>
      </c>
      <c r="X22" s="26">
        <f>W22*3600/1000</f>
        <v/>
      </c>
      <c r="Y22" s="26" t="n"/>
    </row>
    <row r="23">
      <c r="B23" s="26" t="inlineStr">
        <is>
          <t>FXSQ32PAVT</t>
        </is>
      </c>
      <c r="C23" s="26" t="n">
        <v>3.6</v>
      </c>
      <c r="D23" s="23" t="inlineStr">
        <is>
          <t>吊隱式</t>
        </is>
      </c>
      <c r="E23" s="26" t="n">
        <v>31.25</v>
      </c>
      <c r="F23" s="26" t="inlineStr">
        <is>
          <t>單相/220V/60Hz</t>
        </is>
      </c>
      <c r="G23" s="26" t="n">
        <v>0.066</v>
      </c>
      <c r="H23" s="26" t="n">
        <v>0.7</v>
      </c>
      <c r="I23" s="26" t="n">
        <v>150</v>
      </c>
      <c r="J23" s="26" t="inlineStr">
        <is>
          <t>245×550×800</t>
        </is>
      </c>
      <c r="V23" s="26" t="inlineStr">
        <is>
          <t>旅館餐廳</t>
        </is>
      </c>
      <c r="W23" s="26" t="n">
        <v>5.1</v>
      </c>
      <c r="X23" s="26">
        <f>W23*3600/1000</f>
        <v/>
      </c>
      <c r="Y23" s="26" t="n"/>
    </row>
    <row r="24">
      <c r="B24" s="26" t="inlineStr">
        <is>
          <t>FXSQ40PAVT</t>
        </is>
      </c>
      <c r="C24" s="26" t="n">
        <v>4.5</v>
      </c>
      <c r="D24" s="23" t="inlineStr">
        <is>
          <t>吊隱式</t>
        </is>
      </c>
      <c r="E24" s="26" t="n">
        <v>40</v>
      </c>
      <c r="F24" s="26" t="inlineStr">
        <is>
          <t>單相/220V/60Hz</t>
        </is>
      </c>
      <c r="G24" s="26" t="n">
        <v>0.101</v>
      </c>
      <c r="H24" s="26" t="n">
        <v>1.2</v>
      </c>
      <c r="I24" s="26" t="n">
        <v>150</v>
      </c>
      <c r="J24" s="26" t="inlineStr">
        <is>
          <t>245×700×800</t>
        </is>
      </c>
      <c r="M24" s="23" t="inlineStr">
        <is>
          <t>VRV S</t>
        </is>
      </c>
      <c r="N24" s="26" t="n"/>
      <c r="O24" s="26" t="n"/>
      <c r="P24" s="26" t="n"/>
      <c r="Q24" s="26" t="n"/>
      <c r="R24" s="26" t="n"/>
      <c r="V24" s="26" t="inlineStr">
        <is>
          <t>旅館大廳、走廊</t>
        </is>
      </c>
      <c r="W24" s="26" t="n">
        <v>4.8</v>
      </c>
      <c r="X24" s="26">
        <f>W24*3600/1000</f>
        <v/>
      </c>
      <c r="Y24" s="26" t="n"/>
    </row>
    <row r="25">
      <c r="B25" s="26" t="inlineStr">
        <is>
          <t>FXSQ50PAVT</t>
        </is>
      </c>
      <c r="C25" s="26" t="n">
        <v>5.6</v>
      </c>
      <c r="D25" s="23" t="inlineStr">
        <is>
          <t>吊隱式</t>
        </is>
      </c>
      <c r="E25" s="26" t="n">
        <v>50</v>
      </c>
      <c r="F25" s="26" t="inlineStr">
        <is>
          <t>單相/220V/60Hz</t>
        </is>
      </c>
      <c r="G25" s="26" t="n">
        <v>0.075</v>
      </c>
      <c r="H25" s="26" t="n">
        <v>1.1</v>
      </c>
      <c r="I25" s="26" t="n">
        <v>150</v>
      </c>
      <c r="J25" s="26" t="inlineStr">
        <is>
          <t>245×1000×800</t>
        </is>
      </c>
      <c r="M25" s="26" t="inlineStr">
        <is>
          <t>RXYMQ10ARYLT</t>
        </is>
      </c>
      <c r="N25" s="26" t="n">
        <v>28</v>
      </c>
      <c r="O25" s="26" t="n">
        <v>250</v>
      </c>
      <c r="P25" s="26" t="n">
        <v>6.72</v>
      </c>
      <c r="Q25" s="26" t="inlineStr">
        <is>
          <t>3相/4線/380V/60Hz</t>
        </is>
      </c>
      <c r="R25" s="26" t="n">
        <v>12.2</v>
      </c>
      <c r="S25" s="26" t="n">
        <v>25</v>
      </c>
      <c r="T25" s="26" t="inlineStr">
        <is>
          <t>1627×940×460</t>
        </is>
      </c>
      <c r="V25" s="26" t="inlineStr">
        <is>
          <t>旅館娛樂空間</t>
        </is>
      </c>
      <c r="W25" s="26" t="n">
        <v>4.7</v>
      </c>
      <c r="X25" s="26">
        <f>W25*3600/1000</f>
        <v/>
      </c>
      <c r="Y25" s="26" t="n"/>
    </row>
    <row r="26">
      <c r="B26" s="26" t="inlineStr">
        <is>
          <t>FXSQ63PAVT</t>
        </is>
      </c>
      <c r="C26" s="26" t="n">
        <v>7.1</v>
      </c>
      <c r="D26" s="23" t="inlineStr">
        <is>
          <t>吊隱式</t>
        </is>
      </c>
      <c r="E26" s="26" t="n">
        <v>62.5</v>
      </c>
      <c r="F26" s="26" t="inlineStr">
        <is>
          <t>單相/220V/60Hz</t>
        </is>
      </c>
      <c r="G26" s="26" t="n">
        <v>0.106</v>
      </c>
      <c r="H26" s="26" t="n">
        <v>1.4</v>
      </c>
      <c r="I26" s="26" t="n">
        <v>150</v>
      </c>
      <c r="J26" s="26" t="inlineStr">
        <is>
          <t>245×1000×800</t>
        </is>
      </c>
      <c r="M26" s="26" t="inlineStr">
        <is>
          <t>RXYMQ12ARYLT</t>
        </is>
      </c>
      <c r="N26" s="26" t="n">
        <v>33.5</v>
      </c>
      <c r="O26" s="26" t="n">
        <v>300</v>
      </c>
      <c r="P26" s="26" t="n">
        <v>8.93</v>
      </c>
      <c r="Q26" s="26" t="inlineStr">
        <is>
          <t>3相/4線/380V/60Hz</t>
        </is>
      </c>
      <c r="R26" s="26" t="n">
        <v>15.7</v>
      </c>
      <c r="S26" s="26" t="n">
        <v>30</v>
      </c>
      <c r="T26" s="26" t="inlineStr">
        <is>
          <t>1627×940×460</t>
        </is>
      </c>
      <c r="V26" s="26" t="inlineStr">
        <is>
          <t>旅館行政服務空間</t>
        </is>
      </c>
      <c r="W26" s="26" t="n">
        <v>5.5</v>
      </c>
      <c r="X26" s="26">
        <f>W26*3600/1000</f>
        <v/>
      </c>
      <c r="Y26" s="26" t="n"/>
    </row>
    <row r="27">
      <c r="B27" s="26" t="inlineStr">
        <is>
          <t>FXSQ80PAVT</t>
        </is>
      </c>
      <c r="C27" s="26" t="n">
        <v>9</v>
      </c>
      <c r="D27" s="23" t="inlineStr">
        <is>
          <t>吊隱式</t>
        </is>
      </c>
      <c r="E27" s="26" t="n">
        <v>80</v>
      </c>
      <c r="F27" s="26" t="inlineStr">
        <is>
          <t>單相/220V/60Hz</t>
        </is>
      </c>
      <c r="G27" s="26" t="n">
        <v>0.126</v>
      </c>
      <c r="H27" s="26" t="n">
        <v>1.5</v>
      </c>
      <c r="I27" s="26" t="n">
        <v>150</v>
      </c>
      <c r="J27" s="26" t="inlineStr">
        <is>
          <t>245×1000×800</t>
        </is>
      </c>
      <c r="V27" s="26" t="inlineStr">
        <is>
          <t>旅館宴會空間</t>
        </is>
      </c>
      <c r="W27" s="26" t="n">
        <v>5.1</v>
      </c>
      <c r="X27" s="26">
        <f>W27*3600/1000</f>
        <v/>
      </c>
      <c r="Y27" s="26" t="n"/>
    </row>
    <row r="28">
      <c r="B28" s="26" t="inlineStr">
        <is>
          <t>FXSQ100PAVT</t>
        </is>
      </c>
      <c r="C28" s="26" t="n">
        <v>11.2</v>
      </c>
      <c r="D28" s="23" t="inlineStr">
        <is>
          <t>吊隱式</t>
        </is>
      </c>
      <c r="E28" s="26" t="n">
        <v>100</v>
      </c>
      <c r="F28" s="26" t="inlineStr">
        <is>
          <t>單相/220V/60Hz</t>
        </is>
      </c>
      <c r="G28" s="26" t="n">
        <v>0.151</v>
      </c>
      <c r="H28" s="26" t="n">
        <v>2</v>
      </c>
      <c r="I28" s="26" t="n">
        <v>150</v>
      </c>
      <c r="J28" s="26" t="inlineStr">
        <is>
          <t>245×1400×800</t>
        </is>
      </c>
      <c r="M28" s="32" t="inlineStr">
        <is>
          <t>VRV-A冷專式</t>
        </is>
      </c>
      <c r="N28" s="26" t="n"/>
      <c r="O28" s="26" t="n"/>
      <c r="P28" s="26" t="n"/>
      <c r="Q28" s="26" t="n"/>
      <c r="R28" s="26" t="n"/>
      <c r="V28" s="26" t="inlineStr">
        <is>
          <t>百貨商業空間</t>
        </is>
      </c>
      <c r="W28" s="26" t="n">
        <v>4.6</v>
      </c>
      <c r="X28" s="26">
        <f>W28*3600/1000</f>
        <v/>
      </c>
      <c r="Y28" s="26" t="n"/>
    </row>
    <row r="29">
      <c r="B29" s="26" t="inlineStr">
        <is>
          <t>FXSQ125PAVT</t>
        </is>
      </c>
      <c r="C29" s="26" t="n">
        <v>14</v>
      </c>
      <c r="D29" s="23" t="inlineStr">
        <is>
          <t>吊隱式</t>
        </is>
      </c>
      <c r="E29" s="26" t="n">
        <v>125</v>
      </c>
      <c r="F29" s="26" t="inlineStr">
        <is>
          <t>單相/220V/60Hz</t>
        </is>
      </c>
      <c r="G29" s="26" t="n">
        <v>0.206</v>
      </c>
      <c r="H29" s="26" t="n">
        <v>2.2</v>
      </c>
      <c r="I29" s="26" t="n">
        <v>150</v>
      </c>
      <c r="J29" s="26" t="inlineStr">
        <is>
          <t>245×1400×800</t>
        </is>
      </c>
      <c r="M29" s="26" t="inlineStr">
        <is>
          <t>RXQ8AYLT</t>
        </is>
      </c>
      <c r="N29" s="26" t="n">
        <v>22.4</v>
      </c>
      <c r="O29" s="26">
        <f>8*25</f>
        <v/>
      </c>
      <c r="P29" s="26" t="n">
        <v>5.32</v>
      </c>
      <c r="Q29" s="26" t="inlineStr">
        <is>
          <t>3相/4線/380V/60Hz</t>
        </is>
      </c>
      <c r="R29" s="26" t="n">
        <v>10.3</v>
      </c>
      <c r="S29" s="26" t="n">
        <v>20</v>
      </c>
      <c r="T29" s="34" t="inlineStr">
        <is>
          <t>1657×930×765</t>
        </is>
      </c>
      <c r="V29" s="26" t="inlineStr">
        <is>
          <t>醫院病房</t>
        </is>
      </c>
      <c r="W29" s="26" t="n">
        <v>3.5</v>
      </c>
      <c r="X29" s="26">
        <f>W29*3600/1000</f>
        <v/>
      </c>
      <c r="Y29" s="26" t="inlineStr">
        <is>
          <t>每床</t>
        </is>
      </c>
    </row>
    <row r="30">
      <c r="B30" s="26" t="inlineStr">
        <is>
          <t>FXSQ140PAVT</t>
        </is>
      </c>
      <c r="C30" s="26" t="n">
        <v>16</v>
      </c>
      <c r="D30" s="23" t="inlineStr">
        <is>
          <t>吊隱式</t>
        </is>
      </c>
      <c r="E30" s="26" t="n">
        <v>140</v>
      </c>
      <c r="F30" s="26" t="inlineStr">
        <is>
          <t>單相/220V/60Hz</t>
        </is>
      </c>
      <c r="G30" s="26" t="n">
        <v>0.222</v>
      </c>
      <c r="H30" s="26" t="n">
        <v>2.5</v>
      </c>
      <c r="I30" s="26" t="n">
        <v>140</v>
      </c>
      <c r="J30" s="26" t="inlineStr">
        <is>
          <t>245×1550×800</t>
        </is>
      </c>
      <c r="M30" s="26" t="inlineStr">
        <is>
          <t>RXQ10AYLT</t>
        </is>
      </c>
      <c r="N30" s="26" t="n">
        <v>28</v>
      </c>
      <c r="O30" s="26">
        <f>10*25</f>
        <v/>
      </c>
      <c r="P30" s="26" t="n">
        <v>7.26</v>
      </c>
      <c r="Q30" s="26" t="inlineStr">
        <is>
          <t>3相/4線/380V/60Hz</t>
        </is>
      </c>
      <c r="R30" s="26" t="n">
        <v>13.6</v>
      </c>
      <c r="S30" s="26" t="n">
        <v>25</v>
      </c>
      <c r="T30" s="34" t="inlineStr">
        <is>
          <t>1657×930×765</t>
        </is>
      </c>
      <c r="V30" s="26" t="inlineStr">
        <is>
          <t>醫院行政、診療空間</t>
        </is>
      </c>
      <c r="W30" s="26" t="n">
        <v>3.5</v>
      </c>
      <c r="X30" s="26">
        <f>W30*3600/1000</f>
        <v/>
      </c>
      <c r="Y30" s="26" t="n"/>
    </row>
    <row r="31" ht="18.6" customHeight="1" s="52">
      <c r="M31" s="26" t="inlineStr">
        <is>
          <t>RXQ12AYLT</t>
        </is>
      </c>
      <c r="N31" s="26" t="n">
        <v>33.5</v>
      </c>
      <c r="O31" s="26">
        <f>12*25</f>
        <v/>
      </c>
      <c r="P31" s="26" t="n">
        <v>9.26</v>
      </c>
      <c r="Q31" s="26" t="inlineStr">
        <is>
          <t>3相/4線/380V/60Hz</t>
        </is>
      </c>
      <c r="R31" s="26" t="n">
        <v>17</v>
      </c>
      <c r="S31" s="26" t="n">
        <v>25</v>
      </c>
      <c r="T31" s="34" t="inlineStr">
        <is>
          <t>1657×930×765</t>
        </is>
      </c>
      <c r="V31" s="26" t="inlineStr">
        <is>
          <t>醫院加護病房、護理站</t>
        </is>
      </c>
      <c r="W31" s="26" t="n">
        <v>6</v>
      </c>
      <c r="X31" s="26">
        <f>W31*3600/1000</f>
        <v/>
      </c>
      <c r="Y31" s="26" t="inlineStr">
        <is>
          <t>每單位面積m2</t>
        </is>
      </c>
    </row>
    <row r="32">
      <c r="B32" s="27" t="inlineStr">
        <is>
          <t>吊隱式中高靜壓</t>
        </is>
      </c>
      <c r="C32" s="26" t="n"/>
      <c r="D32" s="26" t="n"/>
      <c r="E32" s="26" t="n"/>
      <c r="F32" s="26" t="n"/>
      <c r="G32" s="23" t="n"/>
      <c r="H32" s="23" t="n"/>
      <c r="I32" s="26" t="n"/>
      <c r="J32" s="26" t="n"/>
      <c r="M32" s="26" t="inlineStr">
        <is>
          <t>RXQ14AYLT</t>
        </is>
      </c>
      <c r="N32" s="26" t="n">
        <v>40</v>
      </c>
      <c r="O32" s="26">
        <f>14*25</f>
        <v/>
      </c>
      <c r="P32" s="26" t="n">
        <v>11.35</v>
      </c>
      <c r="Q32" s="26" t="inlineStr">
        <is>
          <t>3相/4線/380V/60Hz</t>
        </is>
      </c>
      <c r="R32" s="26" t="n">
        <v>20.9</v>
      </c>
      <c r="S32" s="26" t="n">
        <v>35</v>
      </c>
      <c r="T32" s="34" t="inlineStr">
        <is>
          <t>1657×1240×765</t>
        </is>
      </c>
    </row>
    <row r="33">
      <c r="B33" s="26" t="inlineStr">
        <is>
          <t>FXMQ20PAVT</t>
        </is>
      </c>
      <c r="C33" s="26" t="n">
        <v>2.2</v>
      </c>
      <c r="D33" s="23" t="inlineStr">
        <is>
          <t>吊隱式</t>
        </is>
      </c>
      <c r="E33" s="26" t="n">
        <v>20</v>
      </c>
      <c r="F33" s="26" t="inlineStr">
        <is>
          <t>單相/220V/60Hz</t>
        </is>
      </c>
      <c r="G33" s="26" t="n">
        <v>0.056</v>
      </c>
      <c r="H33" s="26" t="n">
        <v>0.5</v>
      </c>
      <c r="I33" s="26" t="n">
        <v>100</v>
      </c>
      <c r="J33" s="26" t="inlineStr">
        <is>
          <t>300×550×700</t>
        </is>
      </c>
      <c r="M33" s="26" t="inlineStr">
        <is>
          <t>RXQ16AYLT</t>
        </is>
      </c>
      <c r="N33" s="26" t="n">
        <v>45</v>
      </c>
      <c r="O33" s="26">
        <f>16*25</f>
        <v/>
      </c>
      <c r="P33" s="26" t="n">
        <v>12.15</v>
      </c>
      <c r="Q33" s="26" t="inlineStr">
        <is>
          <t>3相/4線/380V/60Hz</t>
        </is>
      </c>
      <c r="R33" s="26" t="n">
        <v>21.9</v>
      </c>
      <c r="S33" s="26" t="n">
        <v>40</v>
      </c>
      <c r="T33" s="34" t="inlineStr">
        <is>
          <t>1657×1240×765</t>
        </is>
      </c>
      <c r="V33" s="35" t="inlineStr">
        <is>
          <t>吊隱式除濕機</t>
        </is>
      </c>
      <c r="W33" s="36" t="n"/>
      <c r="X33" s="36" t="n"/>
      <c r="Y33" s="37" t="n"/>
    </row>
    <row r="34">
      <c r="B34" s="26" t="inlineStr">
        <is>
          <t>FXMQ25PAVT</t>
        </is>
      </c>
      <c r="C34" s="26" t="n">
        <v>2.8</v>
      </c>
      <c r="D34" s="23" t="inlineStr">
        <is>
          <t>吊隱式</t>
        </is>
      </c>
      <c r="E34" s="26" t="n">
        <v>25</v>
      </c>
      <c r="F34" s="26" t="inlineStr">
        <is>
          <t>單相/220V/60Hz</t>
        </is>
      </c>
      <c r="G34" s="26" t="n">
        <v>0.056</v>
      </c>
      <c r="H34" s="26" t="n">
        <v>0.5</v>
      </c>
      <c r="I34" s="26" t="n">
        <v>100</v>
      </c>
      <c r="J34" s="26" t="inlineStr">
        <is>
          <t>300×550×700</t>
        </is>
      </c>
      <c r="M34" s="26" t="inlineStr">
        <is>
          <t>RXQ18AYLT</t>
        </is>
      </c>
      <c r="N34" s="26" t="n">
        <v>50</v>
      </c>
      <c r="O34" s="26">
        <f>18*25</f>
        <v/>
      </c>
      <c r="P34" s="26" t="n">
        <v>14.82</v>
      </c>
      <c r="Q34" s="26" t="inlineStr">
        <is>
          <t>3相/4線/380V/60Hz</t>
        </is>
      </c>
      <c r="R34" s="26" t="n">
        <v>26.9</v>
      </c>
      <c r="S34" s="26" t="n">
        <v>40</v>
      </c>
      <c r="T34" s="34" t="inlineStr">
        <is>
          <t>1657×1240×765</t>
        </is>
      </c>
      <c r="V34" s="23" t="inlineStr">
        <is>
          <t>型號</t>
        </is>
      </c>
      <c r="W34" s="27" t="inlineStr">
        <is>
          <t>電流(A)</t>
        </is>
      </c>
      <c r="X34" s="27" t="inlineStr">
        <is>
          <t>耗電量(kW)</t>
        </is>
      </c>
      <c r="Y34" s="27" t="inlineStr">
        <is>
          <t>電源(φ-V-Hz)</t>
        </is>
      </c>
    </row>
    <row r="35">
      <c r="B35" s="26" t="inlineStr">
        <is>
          <t>FXMQ32PAVT</t>
        </is>
      </c>
      <c r="C35" s="26" t="n">
        <v>3.6</v>
      </c>
      <c r="D35" s="23" t="inlineStr">
        <is>
          <t>吊隱式</t>
        </is>
      </c>
      <c r="E35" s="26" t="n">
        <v>31.25</v>
      </c>
      <c r="F35" s="26" t="inlineStr">
        <is>
          <t>單相/220V/60Hz</t>
        </is>
      </c>
      <c r="G35" s="26" t="n">
        <v>0.059</v>
      </c>
      <c r="H35" s="26" t="n">
        <v>0.5</v>
      </c>
      <c r="I35" s="26" t="n">
        <v>100</v>
      </c>
      <c r="J35" s="26" t="inlineStr">
        <is>
          <t>300×550×700</t>
        </is>
      </c>
      <c r="M35" s="26" t="inlineStr">
        <is>
          <t>RXQ20AYLT</t>
        </is>
      </c>
      <c r="N35" s="26" t="n">
        <v>54</v>
      </c>
      <c r="O35" s="26">
        <f>20*25</f>
        <v/>
      </c>
      <c r="P35" s="26" t="n">
        <v>16.24</v>
      </c>
      <c r="Q35" s="26" t="inlineStr">
        <is>
          <t>3相/4線/380V/60Hz</t>
        </is>
      </c>
      <c r="R35" s="26" t="n">
        <v>28.8</v>
      </c>
      <c r="S35" s="26" t="n">
        <v>45</v>
      </c>
      <c r="T35" s="34" t="inlineStr">
        <is>
          <t>1657×1240×765</t>
        </is>
      </c>
      <c r="V35" s="26" t="inlineStr">
        <is>
          <t>HT016A</t>
        </is>
      </c>
      <c r="W35" s="26" t="n">
        <v>0.71</v>
      </c>
      <c r="X35" s="26" t="n">
        <v>0.15</v>
      </c>
      <c r="Y35" s="26" t="inlineStr">
        <is>
          <t>單相/220V/60Hz</t>
        </is>
      </c>
    </row>
    <row r="36">
      <c r="B36" s="26" t="inlineStr">
        <is>
          <t>FXMQ40PAVT</t>
        </is>
      </c>
      <c r="C36" s="26" t="n">
        <v>4.5</v>
      </c>
      <c r="D36" s="23" t="inlineStr">
        <is>
          <t>吊隱式</t>
        </is>
      </c>
      <c r="E36" s="26" t="n">
        <v>40</v>
      </c>
      <c r="F36" s="26" t="inlineStr">
        <is>
          <t>單相/220V/60Hz</t>
        </is>
      </c>
      <c r="G36" s="26" t="n">
        <v>0.15</v>
      </c>
      <c r="H36" s="26" t="n">
        <v>1.1</v>
      </c>
      <c r="I36" s="26" t="n">
        <v>160</v>
      </c>
      <c r="J36" s="26" t="inlineStr">
        <is>
          <t>300×700×700</t>
        </is>
      </c>
      <c r="M36" s="26" t="inlineStr">
        <is>
          <t>RXQ22ANYLT</t>
        </is>
      </c>
      <c r="N36" s="26" t="n">
        <v>61.5</v>
      </c>
      <c r="O36" s="26">
        <f>22*25</f>
        <v/>
      </c>
      <c r="P36" s="26" t="n">
        <v>16.52</v>
      </c>
      <c r="Q36" s="26" t="inlineStr">
        <is>
          <t>3相/4線/380V/60Hz</t>
        </is>
      </c>
      <c r="R36" s="26" t="n">
        <v>30.6</v>
      </c>
      <c r="S36" s="26" t="n">
        <v>50</v>
      </c>
      <c r="T36" s="34" t="inlineStr">
        <is>
          <t>(1657×930×765)+(1657×930×765)</t>
        </is>
      </c>
      <c r="V36" s="26" t="inlineStr">
        <is>
          <t>HT046A1</t>
        </is>
      </c>
      <c r="W36" s="26" t="n">
        <v>1.73</v>
      </c>
      <c r="X36" s="26" t="n">
        <v>0.365</v>
      </c>
      <c r="Y36" s="26" t="inlineStr">
        <is>
          <t>單相/220V/60Hz</t>
        </is>
      </c>
    </row>
    <row r="37">
      <c r="B37" s="26" t="inlineStr">
        <is>
          <t>FXMQ50PAVT</t>
        </is>
      </c>
      <c r="C37" s="26" t="n">
        <v>5.6</v>
      </c>
      <c r="D37" s="23" t="inlineStr">
        <is>
          <t>吊隱式</t>
        </is>
      </c>
      <c r="E37" s="26" t="n">
        <v>50</v>
      </c>
      <c r="F37" s="26" t="inlineStr">
        <is>
          <t>單相/220V/60Hz</t>
        </is>
      </c>
      <c r="G37" s="26" t="n">
        <v>0.127</v>
      </c>
      <c r="H37" s="26" t="n">
        <v>1.3</v>
      </c>
      <c r="I37" s="26" t="n">
        <v>200</v>
      </c>
      <c r="J37" s="26" t="inlineStr">
        <is>
          <t>300×1000×700</t>
        </is>
      </c>
      <c r="M37" s="26" t="inlineStr">
        <is>
          <t>RXQ24ANYLT</t>
        </is>
      </c>
      <c r="N37" s="26" t="n">
        <v>67</v>
      </c>
      <c r="O37" s="26">
        <f>25*24</f>
        <v/>
      </c>
      <c r="P37" s="26" t="n">
        <v>18.52</v>
      </c>
      <c r="Q37" s="26" t="inlineStr">
        <is>
          <t>3相/4線/380V/60Hz</t>
        </is>
      </c>
      <c r="R37" s="26" t="n">
        <v>34</v>
      </c>
      <c r="S37" s="26" t="n">
        <v>50</v>
      </c>
      <c r="T37" s="34" t="inlineStr">
        <is>
          <t>(1657×930×765)+(1657×930×765)</t>
        </is>
      </c>
      <c r="V37" s="26" t="inlineStr">
        <is>
          <t>HT070SCT</t>
        </is>
      </c>
      <c r="W37" s="26" t="n">
        <v>2.88</v>
      </c>
      <c r="X37" s="26" t="n">
        <v>0.614</v>
      </c>
      <c r="Y37" s="26" t="inlineStr">
        <is>
          <t>單相/220V/60Hz</t>
        </is>
      </c>
    </row>
    <row r="38">
      <c r="B38" s="26" t="inlineStr">
        <is>
          <t>FXMQ63PAVT</t>
        </is>
      </c>
      <c r="C38" s="26" t="n">
        <v>7.1</v>
      </c>
      <c r="D38" s="23" t="inlineStr">
        <is>
          <t>吊隱式</t>
        </is>
      </c>
      <c r="E38" s="26" t="n">
        <v>62.5</v>
      </c>
      <c r="F38" s="26" t="inlineStr">
        <is>
          <t>單相/220V/60Hz</t>
        </is>
      </c>
      <c r="G38" s="26" t="n">
        <v>0.138</v>
      </c>
      <c r="H38" s="26" t="n">
        <v>1.4</v>
      </c>
      <c r="I38" s="26" t="n">
        <v>200</v>
      </c>
      <c r="J38" s="26" t="inlineStr">
        <is>
          <t>300×1000×700</t>
        </is>
      </c>
      <c r="M38" s="26" t="inlineStr">
        <is>
          <t>RXQ26ANYLT</t>
        </is>
      </c>
      <c r="N38" s="26" t="n">
        <v>73.5</v>
      </c>
      <c r="O38" s="26">
        <f>25*26</f>
        <v/>
      </c>
      <c r="P38" s="26" t="n">
        <v>20.61</v>
      </c>
      <c r="Q38" s="26" t="inlineStr">
        <is>
          <t>3相/4線/380V/60Hz</t>
        </is>
      </c>
      <c r="R38" s="26" t="n">
        <v>37.9</v>
      </c>
      <c r="S38" s="26" t="n">
        <v>60</v>
      </c>
      <c r="T38" s="34" t="inlineStr">
        <is>
          <t>(1657×930×765)+(1657×1240×765)</t>
        </is>
      </c>
    </row>
    <row r="39">
      <c r="B39" s="26" t="inlineStr">
        <is>
          <t>FXMQ80PAVT</t>
        </is>
      </c>
      <c r="C39" s="26" t="n">
        <v>9</v>
      </c>
      <c r="D39" s="23" t="inlineStr">
        <is>
          <t>吊隱式</t>
        </is>
      </c>
      <c r="E39" s="26" t="n">
        <v>80</v>
      </c>
      <c r="F39" s="26" t="inlineStr">
        <is>
          <t>單相/220V/60Hz</t>
        </is>
      </c>
      <c r="G39" s="26" t="n">
        <v>0.184</v>
      </c>
      <c r="H39" s="26" t="n">
        <v>1.8</v>
      </c>
      <c r="I39" s="26" t="n">
        <v>200</v>
      </c>
      <c r="J39" s="26" t="inlineStr">
        <is>
          <t>300×1000×700</t>
        </is>
      </c>
      <c r="M39" s="26" t="inlineStr">
        <is>
          <t>RXQ28ANYLT</t>
        </is>
      </c>
      <c r="N39" s="26" t="n">
        <v>78.5</v>
      </c>
      <c r="O39" s="26">
        <f>28*25</f>
        <v/>
      </c>
      <c r="P39" s="26" t="n">
        <v>21.41</v>
      </c>
      <c r="Q39" s="26" t="inlineStr">
        <is>
          <t>3相/4線/380V/60Hz</t>
        </is>
      </c>
      <c r="R39" s="26" t="n">
        <v>38.9</v>
      </c>
      <c r="S39" s="26" t="n">
        <v>70</v>
      </c>
      <c r="T39" s="34" t="inlineStr">
        <is>
          <t>(1657×930×765)+(1657×1240×765)</t>
        </is>
      </c>
    </row>
    <row r="40">
      <c r="B40" s="26" t="inlineStr">
        <is>
          <t>FXMQ100PAVT</t>
        </is>
      </c>
      <c r="C40" s="26" t="n">
        <v>11.2</v>
      </c>
      <c r="D40" s="23" t="inlineStr">
        <is>
          <t>吊隱式</t>
        </is>
      </c>
      <c r="E40" s="26" t="n">
        <v>100</v>
      </c>
      <c r="F40" s="26" t="inlineStr">
        <is>
          <t>單相/220V/60Hz</t>
        </is>
      </c>
      <c r="G40" s="26" t="n">
        <v>0.214</v>
      </c>
      <c r="H40" s="26" t="n">
        <v>2.3</v>
      </c>
      <c r="I40" s="26" t="n">
        <v>200</v>
      </c>
      <c r="J40" s="26" t="inlineStr">
        <is>
          <t>300×1400×700</t>
        </is>
      </c>
      <c r="M40" s="26" t="inlineStr">
        <is>
          <t>RXQ30ANYLT</t>
        </is>
      </c>
      <c r="N40" s="26" t="n">
        <v>85</v>
      </c>
      <c r="O40" s="26">
        <f>30*25</f>
        <v/>
      </c>
      <c r="P40" s="26" t="n">
        <v>23.5</v>
      </c>
      <c r="Q40" s="26" t="inlineStr">
        <is>
          <t>3相/4線/380V/60Hz</t>
        </is>
      </c>
      <c r="R40" s="26" t="n">
        <v>42.8</v>
      </c>
      <c r="S40" s="26" t="n">
        <v>80</v>
      </c>
      <c r="T40" s="21" t="inlineStr">
        <is>
          <t>(1657*1240*765)+(1657*1240*765)</t>
        </is>
      </c>
    </row>
    <row r="41">
      <c r="B41" s="26" t="inlineStr">
        <is>
          <t>FXMQ125PAVT</t>
        </is>
      </c>
      <c r="C41" s="26" t="n">
        <v>14</v>
      </c>
      <c r="D41" s="23" t="inlineStr">
        <is>
          <t>吊隱式</t>
        </is>
      </c>
      <c r="E41" s="26" t="n">
        <v>125</v>
      </c>
      <c r="F41" s="26" t="inlineStr">
        <is>
          <t>單相/220V/60Hz</t>
        </is>
      </c>
      <c r="G41" s="26" t="n">
        <v>0.283</v>
      </c>
      <c r="H41" s="26" t="n">
        <v>2.7</v>
      </c>
      <c r="I41" s="26" t="n">
        <v>200</v>
      </c>
      <c r="J41" s="26" t="inlineStr">
        <is>
          <t>300×1400×700</t>
        </is>
      </c>
      <c r="M41" s="26" t="inlineStr">
        <is>
          <t>RXQ32AN1YLT</t>
        </is>
      </c>
      <c r="N41" s="26" t="n">
        <v>90</v>
      </c>
      <c r="O41" s="26">
        <f>25*32</f>
        <v/>
      </c>
      <c r="P41" s="26" t="n">
        <v>26.17</v>
      </c>
      <c r="Q41" s="26" t="inlineStr">
        <is>
          <t>3相/4線/380V/60Hz</t>
        </is>
      </c>
      <c r="R41" s="26" t="n">
        <v>47.8</v>
      </c>
      <c r="S41" s="26" t="n">
        <v>80</v>
      </c>
      <c r="T41" s="21" t="inlineStr">
        <is>
          <t>(1657*1240*765)+(1657*1240*766)</t>
        </is>
      </c>
    </row>
    <row r="42">
      <c r="B42" s="26" t="inlineStr">
        <is>
          <t>FXMQ140PAVT</t>
        </is>
      </c>
      <c r="C42" s="26" t="n">
        <v>16</v>
      </c>
      <c r="D42" s="23" t="inlineStr">
        <is>
          <t>吊隱式</t>
        </is>
      </c>
      <c r="E42" s="26" t="n">
        <v>140</v>
      </c>
      <c r="F42" s="26" t="inlineStr">
        <is>
          <t>單相/220V/60Hz</t>
        </is>
      </c>
      <c r="G42" s="26" t="n">
        <v>0.404</v>
      </c>
      <c r="H42" s="26" t="n">
        <v>2.7</v>
      </c>
      <c r="I42" s="26" t="n">
        <v>140</v>
      </c>
      <c r="J42" s="26" t="inlineStr">
        <is>
          <t>300×1400×700</t>
        </is>
      </c>
      <c r="M42" s="26" t="inlineStr">
        <is>
          <t>RXQ34ANYLT</t>
        </is>
      </c>
      <c r="N42" s="26" t="n">
        <v>95</v>
      </c>
      <c r="O42" s="26">
        <f>25*34</f>
        <v/>
      </c>
      <c r="P42" s="26" t="n">
        <v>26.97</v>
      </c>
      <c r="Q42" s="26" t="inlineStr">
        <is>
          <t>3相/4線/380V/60Hz</t>
        </is>
      </c>
      <c r="R42" s="26" t="n">
        <v>48.8</v>
      </c>
      <c r="S42" s="26" t="n">
        <v>80</v>
      </c>
      <c r="T42" s="21" t="inlineStr">
        <is>
          <t>(1657*1240*765)+(1657*1240*767)</t>
        </is>
      </c>
    </row>
    <row r="43">
      <c r="B43" s="26" t="inlineStr">
        <is>
          <t>FXMQ200MVET</t>
        </is>
      </c>
      <c r="C43" s="26" t="n">
        <v>22.4</v>
      </c>
      <c r="D43" s="23" t="inlineStr">
        <is>
          <t>吊隱式</t>
        </is>
      </c>
      <c r="E43" s="26" t="n">
        <v>200</v>
      </c>
      <c r="F43" s="26" t="inlineStr">
        <is>
          <t>單相/220V/60Hz</t>
        </is>
      </c>
      <c r="G43" s="26" t="n">
        <v>1.49</v>
      </c>
      <c r="H43" s="26" t="n">
        <v>7.2</v>
      </c>
      <c r="I43" s="26" t="n">
        <v>270</v>
      </c>
      <c r="J43" s="26" t="inlineStr">
        <is>
          <t>470×1380×1100</t>
        </is>
      </c>
      <c r="M43" s="26" t="inlineStr">
        <is>
          <t>RXQ36AN1YLT</t>
        </is>
      </c>
      <c r="N43" s="26" t="n">
        <v>100</v>
      </c>
      <c r="O43" s="26">
        <f>25*36</f>
        <v/>
      </c>
      <c r="P43" s="26" t="n">
        <v>29.64</v>
      </c>
      <c r="Q43" s="26" t="inlineStr">
        <is>
          <t>3相/4線/380V/60Hz</t>
        </is>
      </c>
      <c r="R43" s="26" t="n">
        <v>53.8</v>
      </c>
      <c r="S43" s="26" t="n">
        <v>80</v>
      </c>
      <c r="T43" s="21" t="inlineStr">
        <is>
          <t>(1657*1240*765)+(1657*1240*768)</t>
        </is>
      </c>
    </row>
    <row r="44">
      <c r="B44" s="26" t="inlineStr">
        <is>
          <t>FXMQ250MVET</t>
        </is>
      </c>
      <c r="C44" s="26" t="n">
        <v>28</v>
      </c>
      <c r="D44" s="23" t="inlineStr">
        <is>
          <t>吊隱式</t>
        </is>
      </c>
      <c r="E44" s="26" t="n">
        <v>250</v>
      </c>
      <c r="F44" s="26" t="inlineStr">
        <is>
          <t>單相/220V/60Hz</t>
        </is>
      </c>
      <c r="G44" s="26" t="n">
        <v>1.684</v>
      </c>
      <c r="H44" s="26" t="n">
        <v>8.1</v>
      </c>
      <c r="I44" s="26" t="n">
        <v>270</v>
      </c>
      <c r="J44" s="26" t="inlineStr">
        <is>
          <t>470×1380×1100</t>
        </is>
      </c>
      <c r="M44" s="26" t="inlineStr">
        <is>
          <t>RXQ38ANYLT</t>
        </is>
      </c>
      <c r="N44" s="26" t="n">
        <v>104</v>
      </c>
      <c r="O44" s="26">
        <f>25*38</f>
        <v/>
      </c>
      <c r="P44" s="26" t="n">
        <v>31.06</v>
      </c>
      <c r="Q44" s="26" t="inlineStr">
        <is>
          <t>3相/4線/380V/60Hz</t>
        </is>
      </c>
      <c r="R44" s="26" t="n">
        <v>55.7</v>
      </c>
      <c r="S44" s="26" t="n">
        <v>90</v>
      </c>
      <c r="T44" s="21" t="inlineStr">
        <is>
          <t>(1657*1240*765)+(1657*1240*769)</t>
        </is>
      </c>
    </row>
    <row r="45">
      <c r="B45" s="26" t="inlineStr">
        <is>
          <t>FXMQ200PVMT</t>
        </is>
      </c>
      <c r="C45" s="26" t="n">
        <v>22.4</v>
      </c>
      <c r="D45" s="23" t="inlineStr">
        <is>
          <t>吊隱式</t>
        </is>
      </c>
      <c r="E45" s="26" t="n">
        <v>200</v>
      </c>
      <c r="F45" s="26" t="inlineStr">
        <is>
          <t>單相/220V/60Hz</t>
        </is>
      </c>
      <c r="G45" s="26" t="n">
        <v>0.55</v>
      </c>
      <c r="H45" s="26" t="n">
        <v>3.9</v>
      </c>
      <c r="I45" s="26" t="n">
        <v>250</v>
      </c>
      <c r="J45" s="26" t="inlineStr">
        <is>
          <t>470×1490×1100</t>
        </is>
      </c>
      <c r="M45" s="26" t="inlineStr">
        <is>
          <t>RXQ40AN1YLT</t>
        </is>
      </c>
      <c r="N45" s="26" t="n">
        <v>108</v>
      </c>
      <c r="O45" s="26">
        <f>40*25</f>
        <v/>
      </c>
      <c r="P45" s="26" t="n">
        <v>32.48</v>
      </c>
      <c r="Q45" s="26" t="inlineStr">
        <is>
          <t>3相/4線/380V/60Hz</t>
        </is>
      </c>
      <c r="R45" s="26" t="n">
        <v>57.6</v>
      </c>
      <c r="S45" s="26" t="n">
        <v>90</v>
      </c>
      <c r="T45" s="21" t="inlineStr">
        <is>
          <t>(1657*1240*765)+(1657*1240*770)</t>
        </is>
      </c>
    </row>
    <row r="46">
      <c r="B46" s="26" t="inlineStr">
        <is>
          <t>FXMQ250PVMT</t>
        </is>
      </c>
      <c r="C46" s="26" t="n">
        <v>28</v>
      </c>
      <c r="D46" s="23" t="inlineStr">
        <is>
          <t>吊隱式</t>
        </is>
      </c>
      <c r="E46" s="26" t="n">
        <v>250</v>
      </c>
      <c r="F46" s="26" t="inlineStr">
        <is>
          <t>單相/220V/60Hz</t>
        </is>
      </c>
      <c r="G46" s="26" t="n">
        <v>0.67</v>
      </c>
      <c r="H46" s="26" t="n">
        <v>4.7</v>
      </c>
      <c r="I46" s="26" t="n">
        <v>250</v>
      </c>
      <c r="J46" s="26" t="inlineStr">
        <is>
          <t>470×1490×1100</t>
        </is>
      </c>
      <c r="M46" s="26" t="inlineStr">
        <is>
          <t>RXQ42ANYLT</t>
        </is>
      </c>
      <c r="N46" s="26" t="n">
        <v>117</v>
      </c>
      <c r="O46" s="26">
        <f>42*25</f>
        <v/>
      </c>
      <c r="P46" s="26" t="n">
        <v>33.34</v>
      </c>
      <c r="Q46" s="26" t="inlineStr">
        <is>
          <t>3相/4線/380V/60Hz</t>
        </is>
      </c>
      <c r="R46" s="26" t="n">
        <v>60.9</v>
      </c>
      <c r="S46" s="26" t="n">
        <v>90</v>
      </c>
      <c r="T46" s="34" t="inlineStr">
        <is>
          <t>(1657×930×765)+(1657×930×765)+(1657×1240×765)</t>
        </is>
      </c>
    </row>
    <row r="47">
      <c r="D47" s="38" t="n"/>
      <c r="M47" s="26" t="inlineStr">
        <is>
          <t>RXQ44ANYLT</t>
        </is>
      </c>
      <c r="N47" s="26" t="n">
        <v>121</v>
      </c>
      <c r="O47" s="26">
        <f>44*25</f>
        <v/>
      </c>
      <c r="P47" s="26" t="n">
        <v>34.76</v>
      </c>
      <c r="Q47" s="26" t="inlineStr">
        <is>
          <t>3相/4線/380V/60Hz</t>
        </is>
      </c>
      <c r="R47" s="26" t="n">
        <v>62.8</v>
      </c>
      <c r="S47" s="26" t="n">
        <v>100</v>
      </c>
      <c r="T47" s="34" t="inlineStr">
        <is>
          <t>(1657×930×765)+(1657×930×765)+(1657×1240×766)</t>
        </is>
      </c>
    </row>
    <row r="48">
      <c r="B48" s="32" t="inlineStr">
        <is>
          <t>外氣系列(出風溫度控制)</t>
        </is>
      </c>
      <c r="C48" s="26" t="n"/>
      <c r="D48" s="26" t="n"/>
      <c r="E48" s="26" t="n"/>
      <c r="F48" s="26" t="n"/>
      <c r="G48" s="26" t="n"/>
      <c r="H48" s="23" t="n"/>
      <c r="J48" s="26" t="n"/>
      <c r="M48" s="26" t="inlineStr">
        <is>
          <t>RXQ46ANYLT</t>
        </is>
      </c>
      <c r="N48" s="26" t="n">
        <v>130</v>
      </c>
      <c r="O48" s="26">
        <f>46*25</f>
        <v/>
      </c>
      <c r="P48" s="26" t="n">
        <v>37.52</v>
      </c>
      <c r="Q48" s="26" t="inlineStr">
        <is>
          <t>3相/4線/380V/60Hz</t>
        </is>
      </c>
      <c r="R48" s="26" t="n">
        <v>68.7</v>
      </c>
      <c r="S48" s="26" t="n">
        <v>110</v>
      </c>
      <c r="T48" s="34" t="inlineStr">
        <is>
          <t>(1657×1240×765)+(1657×1240×765)+(1657×1240×765)</t>
        </is>
      </c>
    </row>
    <row r="49">
      <c r="B49" s="26" t="inlineStr">
        <is>
          <t>FXMQ48MFVJU</t>
        </is>
      </c>
      <c r="C49" s="26" t="n">
        <v>14</v>
      </c>
      <c r="D49" s="23" t="inlineStr">
        <is>
          <t>吊隱式</t>
        </is>
      </c>
      <c r="E49" s="26" t="n">
        <v>125</v>
      </c>
      <c r="F49" s="26" t="inlineStr">
        <is>
          <t>單相/220V/60Hz</t>
        </is>
      </c>
      <c r="G49" s="26" t="n">
        <v>0.359</v>
      </c>
      <c r="H49" s="26" t="n">
        <v>1.7</v>
      </c>
      <c r="J49" s="26" t="inlineStr">
        <is>
          <t>470×744×1100</t>
        </is>
      </c>
      <c r="M49" s="26" t="inlineStr">
        <is>
          <t>RXQ48AN1YLT</t>
        </is>
      </c>
      <c r="N49" s="26" t="n">
        <v>135</v>
      </c>
      <c r="O49" s="26">
        <f>48*25</f>
        <v/>
      </c>
      <c r="P49" s="26" t="n">
        <v>38.32</v>
      </c>
      <c r="Q49" s="26" t="inlineStr">
        <is>
          <t>3相/4線/380V/60Hz</t>
        </is>
      </c>
      <c r="R49" s="26" t="n">
        <v>69.7</v>
      </c>
      <c r="S49" s="26" t="n">
        <v>110</v>
      </c>
      <c r="T49" s="34" t="inlineStr">
        <is>
          <t>(1657×1240×765)+(1657×1240×765)+(1657×1240×765)</t>
        </is>
      </c>
    </row>
    <row r="50">
      <c r="B50" s="26" t="inlineStr">
        <is>
          <t>FXMQ72MFVJU</t>
        </is>
      </c>
      <c r="C50" s="26" t="n">
        <v>22.4</v>
      </c>
      <c r="D50" s="23" t="inlineStr">
        <is>
          <t>吊隱式</t>
        </is>
      </c>
      <c r="E50" s="26" t="n">
        <v>200</v>
      </c>
      <c r="F50" s="26" t="inlineStr">
        <is>
          <t>單相/220V/60Hz</t>
        </is>
      </c>
      <c r="G50" s="26" t="n">
        <v>0.548</v>
      </c>
      <c r="H50" s="26" t="n">
        <v>2.9</v>
      </c>
      <c r="J50" s="26" t="inlineStr">
        <is>
          <t>470×1380×1100</t>
        </is>
      </c>
      <c r="M50" s="26" t="inlineStr">
        <is>
          <t>RXQ50ANYLT</t>
        </is>
      </c>
      <c r="N50" s="26" t="n">
        <v>140</v>
      </c>
      <c r="O50" s="26">
        <f>50*25</f>
        <v/>
      </c>
      <c r="P50" s="26" t="n">
        <v>40.99</v>
      </c>
      <c r="Q50" s="26" t="inlineStr">
        <is>
          <t>3相/4線/380V/60Hz</t>
        </is>
      </c>
      <c r="R50" s="26" t="n">
        <v>74.7</v>
      </c>
      <c r="S50" s="26" t="n">
        <v>110</v>
      </c>
      <c r="T50" s="34" t="inlineStr">
        <is>
          <t>(1657×1240×765)+(1657×1240×765)+(1657×1240×765)</t>
        </is>
      </c>
    </row>
    <row r="51">
      <c r="B51" s="26" t="inlineStr">
        <is>
          <t>FXMQ96MFVJU</t>
        </is>
      </c>
      <c r="C51" s="26" t="n">
        <v>28</v>
      </c>
      <c r="D51" s="23" t="inlineStr">
        <is>
          <t>吊隱式</t>
        </is>
      </c>
      <c r="E51" s="26" t="n">
        <v>250</v>
      </c>
      <c r="F51" s="26" t="inlineStr">
        <is>
          <t>單相/220V/60Hz</t>
        </is>
      </c>
      <c r="G51" s="26" t="n">
        <v>0.638</v>
      </c>
      <c r="H51" s="26" t="n">
        <v>3.3</v>
      </c>
      <c r="J51" s="26" t="inlineStr">
        <is>
          <t>470×1380×1100</t>
        </is>
      </c>
      <c r="M51" s="26" t="inlineStr">
        <is>
          <t>RXQ52AN1YLT</t>
        </is>
      </c>
      <c r="N51" s="26" t="n">
        <v>145</v>
      </c>
      <c r="O51" s="26">
        <f>52*25</f>
        <v/>
      </c>
      <c r="P51" s="26" t="n">
        <v>41.79</v>
      </c>
      <c r="Q51" s="26" t="inlineStr">
        <is>
          <t>3相/4線/380V/60Hz</t>
        </is>
      </c>
      <c r="R51" s="26" t="n">
        <v>75.7</v>
      </c>
      <c r="S51" s="26" t="n">
        <v>125</v>
      </c>
      <c r="T51" s="34" t="inlineStr">
        <is>
          <t>(1657×1240×765)+(1657×1240×765)+(1657×1240×765)</t>
        </is>
      </c>
    </row>
    <row r="52">
      <c r="B52" s="32" t="inlineStr">
        <is>
          <t>外氣系列(回風溫度控制)</t>
        </is>
      </c>
      <c r="C52" s="26" t="n"/>
      <c r="D52" s="26" t="n"/>
      <c r="E52" s="26" t="n"/>
      <c r="F52" s="26" t="n"/>
      <c r="G52" s="26" t="n"/>
      <c r="H52" s="23" t="n"/>
      <c r="J52" s="26" t="n"/>
      <c r="M52" s="26" t="inlineStr">
        <is>
          <t>RXQ54ANYLT</t>
        </is>
      </c>
      <c r="N52" s="26" t="n">
        <v>150</v>
      </c>
      <c r="O52" s="26">
        <f>54*25</f>
        <v/>
      </c>
      <c r="P52" s="26" t="n">
        <v>44.46</v>
      </c>
      <c r="Q52" s="26" t="inlineStr">
        <is>
          <t>3相/4線/380V/60Hz</t>
        </is>
      </c>
      <c r="R52" s="26" t="n">
        <v>80.7</v>
      </c>
      <c r="S52" s="26" t="n">
        <v>125</v>
      </c>
      <c r="T52" s="34" t="inlineStr">
        <is>
          <t>(1657×1240×765)+(1657×1240×765)+(1657×1240×765)</t>
        </is>
      </c>
    </row>
    <row r="53">
      <c r="B53" s="26" t="inlineStr">
        <is>
          <t>FXMQ80AFVLT</t>
        </is>
      </c>
      <c r="C53" s="26" t="n">
        <v>9</v>
      </c>
      <c r="D53" s="23" t="inlineStr">
        <is>
          <t>吊隱式</t>
        </is>
      </c>
      <c r="E53" s="26" t="n">
        <v>80</v>
      </c>
      <c r="F53" s="26" t="inlineStr">
        <is>
          <t>單相/220V/60Hz</t>
        </is>
      </c>
      <c r="G53" s="26" t="n">
        <v>0.08</v>
      </c>
      <c r="H53" s="26" t="n">
        <v>1.1</v>
      </c>
      <c r="J53" s="26" t="inlineStr">
        <is>
          <t>300×700×700</t>
        </is>
      </c>
      <c r="M53" s="26" t="inlineStr">
        <is>
          <t>RXQ56AN1YLT</t>
        </is>
      </c>
      <c r="N53" s="26" t="n">
        <v>154</v>
      </c>
      <c r="O53" s="26">
        <f>56*25</f>
        <v/>
      </c>
      <c r="P53" s="26" t="n">
        <v>45.88</v>
      </c>
      <c r="Q53" s="26" t="inlineStr">
        <is>
          <t>3相/4線/380V/60Hz</t>
        </is>
      </c>
      <c r="R53" s="26" t="n">
        <v>82.59999999999999</v>
      </c>
      <c r="S53" s="26" t="n">
        <v>125</v>
      </c>
      <c r="T53" s="34" t="inlineStr">
        <is>
          <t>(1657×1240×765)+(1657×1240×765)+(1657×1240×765)</t>
        </is>
      </c>
    </row>
    <row r="54">
      <c r="B54" s="26" t="inlineStr">
        <is>
          <t>FXMQ140AFVLT</t>
        </is>
      </c>
      <c r="C54" s="26" t="n">
        <v>16</v>
      </c>
      <c r="D54" s="23" t="inlineStr">
        <is>
          <t>吊隱式</t>
        </is>
      </c>
      <c r="E54" s="26" t="n">
        <v>140</v>
      </c>
      <c r="F54" s="26" t="inlineStr">
        <is>
          <t>單相/220V/60Hz</t>
        </is>
      </c>
      <c r="G54" s="26" t="n">
        <v>0.1</v>
      </c>
      <c r="H54" s="26" t="n">
        <v>1.4</v>
      </c>
      <c r="J54" s="26" t="inlineStr">
        <is>
          <t>300×1000×700</t>
        </is>
      </c>
      <c r="M54" s="26" t="inlineStr">
        <is>
          <t>RXQ58ANYLT</t>
        </is>
      </c>
      <c r="N54" s="26" t="n">
        <v>158</v>
      </c>
      <c r="O54" s="26">
        <f>58*25</f>
        <v/>
      </c>
      <c r="P54" s="26" t="n">
        <v>47.3</v>
      </c>
      <c r="Q54" s="26" t="inlineStr">
        <is>
          <t>3相/4線/380V/60Hz</t>
        </is>
      </c>
      <c r="R54" s="26" t="n">
        <v>84.5</v>
      </c>
      <c r="S54" s="26" t="n">
        <v>125</v>
      </c>
      <c r="T54" s="34" t="inlineStr">
        <is>
          <t>(1657×1240×765)+(1657×1240×765)+(1657×1240×765)</t>
        </is>
      </c>
    </row>
    <row r="55">
      <c r="B55" s="26" t="inlineStr">
        <is>
          <t>FXMQ200AFVLT</t>
        </is>
      </c>
      <c r="C55" s="26" t="n">
        <v>22.4</v>
      </c>
      <c r="D55" s="23" t="inlineStr">
        <is>
          <t>吊隱式</t>
        </is>
      </c>
      <c r="E55" s="26" t="n">
        <v>200</v>
      </c>
      <c r="F55" s="26" t="inlineStr">
        <is>
          <t>單相/220V/60Hz</t>
        </is>
      </c>
      <c r="G55" s="26" t="n">
        <v>0.115</v>
      </c>
      <c r="H55" s="26" t="n">
        <v>2.2</v>
      </c>
      <c r="J55" s="26" t="inlineStr">
        <is>
          <t>300×1400×700</t>
        </is>
      </c>
      <c r="M55" s="26" t="inlineStr">
        <is>
          <t>RXQ60ANYLT</t>
        </is>
      </c>
      <c r="N55" s="26" t="n">
        <v>162</v>
      </c>
      <c r="O55" s="26">
        <f>60*25</f>
        <v/>
      </c>
      <c r="P55" s="26" t="n">
        <v>48.72</v>
      </c>
      <c r="Q55" s="26" t="inlineStr">
        <is>
          <t>3相/4線/380V/60Hz</t>
        </is>
      </c>
      <c r="R55" s="26" t="n">
        <v>86.40000000000001</v>
      </c>
      <c r="S55" s="26" t="n">
        <v>150</v>
      </c>
      <c r="T55" s="34" t="inlineStr">
        <is>
          <t>(1657×1240×765)+(1657×1240×765)+(1657×1240×765)</t>
        </is>
      </c>
    </row>
    <row r="56">
      <c r="B56" s="26" t="inlineStr">
        <is>
          <t>FXMQ250AFVLT</t>
        </is>
      </c>
      <c r="C56" s="26" t="n">
        <v>28</v>
      </c>
      <c r="D56" s="23" t="inlineStr">
        <is>
          <t>吊隱式</t>
        </is>
      </c>
      <c r="E56" s="26" t="n">
        <v>250</v>
      </c>
      <c r="F56" s="26" t="inlineStr">
        <is>
          <t>單相/220V/60Hz</t>
        </is>
      </c>
      <c r="G56" s="26" t="n">
        <v>0.18</v>
      </c>
      <c r="H56" s="26" t="n">
        <v>2.7</v>
      </c>
      <c r="J56" s="26" t="inlineStr">
        <is>
          <t>300×1400×700</t>
        </is>
      </c>
    </row>
    <row r="57">
      <c r="D57" s="38" t="n"/>
      <c r="M57" s="32" t="inlineStr">
        <is>
          <t>VRV-A高效率型</t>
        </is>
      </c>
      <c r="N57" s="26" t="n"/>
      <c r="O57" s="26" t="n"/>
      <c r="P57" s="26" t="n"/>
      <c r="Q57" s="26" t="n"/>
      <c r="R57" s="26" t="n"/>
    </row>
    <row r="58">
      <c r="B58" s="32" t="inlineStr">
        <is>
          <t>單點式空調</t>
        </is>
      </c>
      <c r="C58" s="26" t="n"/>
      <c r="D58" s="26" t="n"/>
      <c r="E58" s="26" t="n"/>
      <c r="F58" s="26" t="n"/>
      <c r="G58" s="26" t="n"/>
      <c r="H58" s="23" t="n"/>
      <c r="J58" s="26" t="n"/>
      <c r="M58" s="26" t="inlineStr">
        <is>
          <t>RXQ16AHYLT</t>
        </is>
      </c>
      <c r="N58" s="26" t="n">
        <v>44.8</v>
      </c>
      <c r="O58" s="26" t="n">
        <v>400</v>
      </c>
      <c r="P58" s="26" t="n">
        <v>10.64</v>
      </c>
      <c r="Q58" s="26" t="inlineStr">
        <is>
          <t>3相/4線/380V/60Hz</t>
        </is>
      </c>
      <c r="R58" s="26" t="n">
        <v>20.6</v>
      </c>
      <c r="S58" s="26" t="n">
        <v>40</v>
      </c>
      <c r="T58" s="34" t="inlineStr">
        <is>
          <t>(1657×930×765)+(1657×930×765)</t>
        </is>
      </c>
    </row>
    <row r="59">
      <c r="B59" s="26" t="inlineStr">
        <is>
          <t>FXPQ25AVN</t>
        </is>
      </c>
      <c r="C59" s="26" t="n">
        <v>2.8</v>
      </c>
      <c r="D59" s="23" t="inlineStr">
        <is>
          <t>單點式</t>
        </is>
      </c>
      <c r="E59" s="26" t="n">
        <v>25</v>
      </c>
      <c r="F59" s="26" t="inlineStr">
        <is>
          <t>單相/220V/60Hz</t>
        </is>
      </c>
      <c r="G59" s="26" t="n">
        <v>0.132</v>
      </c>
      <c r="H59" s="26" t="n">
        <v>0.8</v>
      </c>
      <c r="J59" s="26" t="inlineStr">
        <is>
          <t>455×555×470</t>
        </is>
      </c>
      <c r="M59" s="26" t="inlineStr">
        <is>
          <t>RXQ18AHYLT</t>
        </is>
      </c>
      <c r="N59" s="26" t="n">
        <v>50.4</v>
      </c>
      <c r="O59" s="26" t="n">
        <v>450</v>
      </c>
      <c r="P59" s="26" t="n">
        <v>12.58</v>
      </c>
      <c r="Q59" s="26" t="inlineStr">
        <is>
          <t>3相/4線/380V/60Hz</t>
        </is>
      </c>
      <c r="R59" s="26" t="n">
        <v>23.9</v>
      </c>
      <c r="S59" s="26" t="n">
        <v>45</v>
      </c>
      <c r="T59" s="34" t="inlineStr">
        <is>
          <t>(1657×930×765)+(1657×930×765)</t>
        </is>
      </c>
    </row>
    <row r="60">
      <c r="M60" s="26" t="inlineStr">
        <is>
          <t>RXQ20AHYLT</t>
        </is>
      </c>
      <c r="N60" s="26" t="n">
        <v>56</v>
      </c>
      <c r="O60" s="26" t="n">
        <v>500</v>
      </c>
      <c r="P60" s="26" t="n">
        <v>14.52</v>
      </c>
      <c r="Q60" s="26" t="inlineStr">
        <is>
          <t>3相/4線/380V/60Hz</t>
        </is>
      </c>
      <c r="R60" s="26" t="n">
        <v>27.2</v>
      </c>
      <c r="S60" s="26" t="n">
        <v>50</v>
      </c>
      <c r="T60" s="34" t="inlineStr">
        <is>
          <t>(1657×930×765)+(1657×930×765)</t>
        </is>
      </c>
    </row>
    <row r="61">
      <c r="B61" s="32" t="inlineStr">
        <is>
          <t>嵌入式全方吹(一般型)</t>
        </is>
      </c>
      <c r="C61" s="26" t="n"/>
      <c r="D61" s="26" t="n"/>
      <c r="E61" s="26" t="n"/>
      <c r="F61" s="26" t="n"/>
      <c r="G61" s="26" t="n"/>
      <c r="H61" s="23" t="n"/>
      <c r="J61" s="26" t="n"/>
      <c r="M61" s="26" t="inlineStr">
        <is>
          <t>RXQ24AHYLT</t>
        </is>
      </c>
      <c r="N61" s="26" t="n">
        <v>67.2</v>
      </c>
      <c r="O61" s="26" t="n">
        <v>600</v>
      </c>
      <c r="P61" s="26" t="n">
        <v>15.96</v>
      </c>
      <c r="Q61" s="26" t="inlineStr">
        <is>
          <t>3相/4線/380V/60Hz</t>
        </is>
      </c>
      <c r="R61" s="26" t="n">
        <v>30.9</v>
      </c>
      <c r="S61" s="26" t="n">
        <v>60</v>
      </c>
      <c r="T61" s="21" t="inlineStr">
        <is>
          <t>(1657×930×765)+(1657×930×765)+(1657×930×765)</t>
        </is>
      </c>
    </row>
    <row r="62">
      <c r="B62" s="26" t="inlineStr">
        <is>
          <t>FXFQ25BVT</t>
        </is>
      </c>
      <c r="C62" s="26" t="n">
        <v>2.8</v>
      </c>
      <c r="D62" s="26" t="inlineStr">
        <is>
          <t>嵌入式</t>
        </is>
      </c>
      <c r="E62" s="26" t="n">
        <v>25</v>
      </c>
      <c r="F62" s="26" t="inlineStr">
        <is>
          <t>單相/220V/60Hz</t>
        </is>
      </c>
      <c r="G62" s="26" t="n">
        <v>0.029</v>
      </c>
      <c r="H62" s="23" t="n">
        <v>0.2</v>
      </c>
      <c r="J62" s="26" t="inlineStr">
        <is>
          <t>256×840×840</t>
        </is>
      </c>
      <c r="M62" s="26" t="inlineStr">
        <is>
          <t>RXQ26AHYLT</t>
        </is>
      </c>
      <c r="N62" s="26" t="n">
        <v>72.8</v>
      </c>
      <c r="O62" s="26" t="n">
        <v>650</v>
      </c>
      <c r="P62" s="26" t="n">
        <v>17.9</v>
      </c>
      <c r="Q62" s="26" t="inlineStr">
        <is>
          <t>3相/4線/380V/60Hz</t>
        </is>
      </c>
      <c r="R62" s="26" t="n">
        <v>34.2</v>
      </c>
      <c r="S62" s="26" t="n">
        <v>65</v>
      </c>
      <c r="T62" s="21" t="inlineStr">
        <is>
          <t>(1657×930×765)+(1657×930×765)+(1657×930×765)</t>
        </is>
      </c>
    </row>
    <row r="63">
      <c r="B63" s="26" t="inlineStr">
        <is>
          <t>FXFQ32BVT</t>
        </is>
      </c>
      <c r="C63" s="26" t="n">
        <v>3.6</v>
      </c>
      <c r="D63" s="26" t="inlineStr">
        <is>
          <t>嵌入式</t>
        </is>
      </c>
      <c r="E63" s="26" t="n">
        <v>31.25</v>
      </c>
      <c r="F63" s="26" t="inlineStr">
        <is>
          <t>單相/220V/60Hz</t>
        </is>
      </c>
      <c r="G63" s="26" t="n">
        <v>0.029</v>
      </c>
      <c r="H63" s="23" t="n">
        <v>0.2</v>
      </c>
      <c r="J63" s="26" t="inlineStr">
        <is>
          <t>256×840×840</t>
        </is>
      </c>
      <c r="M63" s="26" t="inlineStr">
        <is>
          <t>RXQ28AHYLT</t>
        </is>
      </c>
      <c r="N63" s="26" t="n">
        <v>78.3</v>
      </c>
      <c r="O63" s="26" t="n">
        <v>700</v>
      </c>
      <c r="P63" s="26" t="n">
        <v>19.9</v>
      </c>
      <c r="Q63" s="26" t="inlineStr">
        <is>
          <t>3相/4線/380V/60Hz</t>
        </is>
      </c>
      <c r="R63" s="26" t="n">
        <v>37.6</v>
      </c>
      <c r="S63" s="26" t="n">
        <v>65</v>
      </c>
      <c r="T63" s="21" t="inlineStr">
        <is>
          <t>(1657×930×765)+(1657×930×765)+(1657×930×765)</t>
        </is>
      </c>
    </row>
    <row r="64">
      <c r="B64" s="26" t="inlineStr">
        <is>
          <t>FXFQ40BVT</t>
        </is>
      </c>
      <c r="C64" s="26" t="n">
        <v>4.5</v>
      </c>
      <c r="D64" s="26" t="inlineStr">
        <is>
          <t>嵌入式</t>
        </is>
      </c>
      <c r="E64" s="26" t="n">
        <v>40</v>
      </c>
      <c r="F64" s="26" t="inlineStr">
        <is>
          <t>單相/220V/60Hz</t>
        </is>
      </c>
      <c r="G64" s="26" t="n">
        <v>0.036</v>
      </c>
      <c r="H64" s="23" t="n">
        <v>0.3</v>
      </c>
      <c r="J64" s="26" t="inlineStr">
        <is>
          <t>256×840×840</t>
        </is>
      </c>
      <c r="M64" s="26" t="inlineStr">
        <is>
          <t>RXQ30AHYLT</t>
        </is>
      </c>
      <c r="N64" s="26" t="n">
        <v>83.90000000000001</v>
      </c>
      <c r="O64" s="26" t="n">
        <v>750</v>
      </c>
      <c r="P64" s="26" t="n">
        <v>21.84</v>
      </c>
      <c r="Q64" s="26" t="inlineStr">
        <is>
          <t>3相/4線/380V/60Hz</t>
        </is>
      </c>
      <c r="R64" s="26" t="n">
        <v>40.9</v>
      </c>
      <c r="S64" s="26" t="n">
        <v>70</v>
      </c>
      <c r="T64" s="21" t="inlineStr">
        <is>
          <t>(1657×930×765)+(1657×930×765)+(1657×930×765)</t>
        </is>
      </c>
    </row>
    <row r="65">
      <c r="B65" s="26" t="inlineStr">
        <is>
          <t>FXFQ50BVT</t>
        </is>
      </c>
      <c r="C65" s="26" t="n">
        <v>5.6</v>
      </c>
      <c r="D65" s="26" t="inlineStr">
        <is>
          <t>嵌入式</t>
        </is>
      </c>
      <c r="E65" s="26" t="n">
        <v>50</v>
      </c>
      <c r="F65" s="26" t="inlineStr">
        <is>
          <t>單相/220V/60Hz</t>
        </is>
      </c>
      <c r="G65" s="26" t="n">
        <v>0.04</v>
      </c>
      <c r="H65" s="23" t="n">
        <v>0.3</v>
      </c>
      <c r="J65" s="26" t="inlineStr">
        <is>
          <t>256×840×840</t>
        </is>
      </c>
      <c r="M65" s="26" t="inlineStr">
        <is>
          <t>RXQ32AHYLT</t>
        </is>
      </c>
      <c r="N65" s="26" t="n">
        <v>89.8</v>
      </c>
      <c r="O65" s="26" t="n">
        <v>800</v>
      </c>
      <c r="P65" s="26" t="n">
        <v>22.79</v>
      </c>
      <c r="Q65" s="26" t="inlineStr">
        <is>
          <t>3相/4線/380V/60Hz</t>
        </is>
      </c>
      <c r="R65" s="26" t="n">
        <v>42.5</v>
      </c>
      <c r="S65" s="26" t="n">
        <v>80</v>
      </c>
      <c r="T65" s="21" t="inlineStr">
        <is>
          <t>(1657×930×765)+(1657×930×765)+(1657×1240×765)</t>
        </is>
      </c>
    </row>
    <row r="66">
      <c r="B66" s="26" t="inlineStr">
        <is>
          <t>FXFQ63BVT</t>
        </is>
      </c>
      <c r="C66" s="26" t="n">
        <v>7.1</v>
      </c>
      <c r="D66" s="26" t="inlineStr">
        <is>
          <t>嵌入式</t>
        </is>
      </c>
      <c r="E66" s="26" t="n">
        <v>62.5</v>
      </c>
      <c r="F66" s="26" t="inlineStr">
        <is>
          <t>單相/220V/60Hz</t>
        </is>
      </c>
      <c r="G66" s="26" t="n">
        <v>0.063</v>
      </c>
      <c r="H66" s="23" t="n">
        <v>0.5</v>
      </c>
      <c r="J66" s="26" t="inlineStr">
        <is>
          <t>256×840×840</t>
        </is>
      </c>
      <c r="M66" s="26" t="inlineStr">
        <is>
          <t>RXQ34AHYLT</t>
        </is>
      </c>
      <c r="N66" s="26" t="n">
        <v>95.40000000000001</v>
      </c>
      <c r="O66" s="26" t="n">
        <v>850</v>
      </c>
      <c r="P66" s="26" t="n">
        <v>24.73</v>
      </c>
      <c r="Q66" s="26" t="inlineStr">
        <is>
          <t>3相/4線/380V/60Hz</t>
        </is>
      </c>
      <c r="R66" s="26" t="n">
        <v>45.8</v>
      </c>
      <c r="S66" s="26" t="n">
        <v>85</v>
      </c>
      <c r="T66" s="21" t="inlineStr">
        <is>
          <t>(1657×930×765)+(1657×930×765)+(1657×1240×765)</t>
        </is>
      </c>
    </row>
    <row r="67">
      <c r="B67" s="26" t="inlineStr">
        <is>
          <t>FXFQ80BVT</t>
        </is>
      </c>
      <c r="C67" s="26" t="n">
        <v>9</v>
      </c>
      <c r="D67" s="26" t="inlineStr">
        <is>
          <t>嵌入式</t>
        </is>
      </c>
      <c r="E67" s="26" t="n">
        <v>80</v>
      </c>
      <c r="F67" s="26" t="inlineStr">
        <is>
          <t>單相/220V/60Hz</t>
        </is>
      </c>
      <c r="G67" s="26" t="n">
        <v>0.096</v>
      </c>
      <c r="H67" s="23" t="n">
        <v>0.8</v>
      </c>
      <c r="J67" s="26" t="inlineStr">
        <is>
          <t>256×840×840</t>
        </is>
      </c>
      <c r="M67" s="26" t="inlineStr">
        <is>
          <t>RXQ36AHYLT</t>
        </is>
      </c>
      <c r="N67" s="26" t="n">
        <v>101</v>
      </c>
      <c r="O67" s="26" t="n">
        <v>900</v>
      </c>
      <c r="P67" s="26" t="n">
        <v>26.67</v>
      </c>
      <c r="Q67" s="26" t="inlineStr">
        <is>
          <t>3相/4線/380V/60Hz</t>
        </is>
      </c>
      <c r="R67" s="26" t="n">
        <v>49.1</v>
      </c>
      <c r="S67" s="26" t="n">
        <v>90</v>
      </c>
      <c r="T67" s="21" t="inlineStr">
        <is>
          <t>(1657×930×765)+(1657×930×765)+(1657×1240×765)</t>
        </is>
      </c>
    </row>
    <row r="68">
      <c r="B68" s="26" t="inlineStr">
        <is>
          <t>FXFQ100BVT</t>
        </is>
      </c>
      <c r="C68" s="26" t="n">
        <v>11.2</v>
      </c>
      <c r="D68" s="26" t="inlineStr">
        <is>
          <t>嵌入式</t>
        </is>
      </c>
      <c r="E68" s="26" t="n">
        <v>100</v>
      </c>
      <c r="F68" s="26" t="inlineStr">
        <is>
          <t>單相/220V/60Hz</t>
        </is>
      </c>
      <c r="G68" s="26" t="n">
        <v>0.158</v>
      </c>
      <c r="H68" s="23" t="n">
        <v>1.1</v>
      </c>
      <c r="J68" s="26" t="inlineStr">
        <is>
          <t>298×840×840</t>
        </is>
      </c>
      <c r="M68" s="26" t="inlineStr">
        <is>
          <t>RXQ38AHYLT</t>
        </is>
      </c>
      <c r="N68" s="26" t="n">
        <v>106.5</v>
      </c>
      <c r="O68" s="26" t="n">
        <v>950</v>
      </c>
      <c r="P68" s="26" t="n">
        <v>28.67</v>
      </c>
      <c r="Q68" s="26" t="inlineStr">
        <is>
          <t>3相/4線/380V/60Hz</t>
        </is>
      </c>
      <c r="R68" s="26" t="n">
        <v>52.5</v>
      </c>
      <c r="S68" s="26" t="n">
        <v>90</v>
      </c>
      <c r="T68" s="21" t="inlineStr">
        <is>
          <t>(1657×930×765)+(1657×930×765)+(1657×1240×765)</t>
        </is>
      </c>
    </row>
    <row r="69">
      <c r="B69" s="26" t="inlineStr">
        <is>
          <t>FXFQ125BVT</t>
        </is>
      </c>
      <c r="C69" s="26" t="n">
        <v>14</v>
      </c>
      <c r="D69" s="26" t="inlineStr">
        <is>
          <t>嵌入式</t>
        </is>
      </c>
      <c r="E69" s="26" t="n">
        <v>125</v>
      </c>
      <c r="F69" s="26" t="inlineStr">
        <is>
          <t>單相/220V/60Hz</t>
        </is>
      </c>
      <c r="G69" s="26" t="n">
        <v>0.178</v>
      </c>
      <c r="H69" s="23" t="n">
        <v>1.3</v>
      </c>
      <c r="J69" s="26" t="inlineStr">
        <is>
          <t>298×840×840</t>
        </is>
      </c>
      <c r="M69" s="26" t="inlineStr">
        <is>
          <t>RXQ40AHYLT</t>
        </is>
      </c>
      <c r="N69" s="26" t="n">
        <v>112.4</v>
      </c>
      <c r="O69" s="26" t="n">
        <v>1000</v>
      </c>
      <c r="P69" s="26" t="n">
        <v>29.62</v>
      </c>
      <c r="Q69" s="26" t="inlineStr">
        <is>
          <t>3相/4線/380V/60Hz</t>
        </is>
      </c>
      <c r="R69" s="26" t="n">
        <v>54.1</v>
      </c>
      <c r="S69" s="26" t="n">
        <v>100</v>
      </c>
      <c r="T69" s="21" t="inlineStr">
        <is>
          <t>(1657×930×765)+(1657×1240×765)+(1657×1240×765)</t>
        </is>
      </c>
    </row>
    <row r="70">
      <c r="B70" s="26" t="inlineStr">
        <is>
          <t>FXFQ140BVT</t>
        </is>
      </c>
      <c r="C70" s="26" t="n">
        <v>16</v>
      </c>
      <c r="D70" s="26" t="inlineStr">
        <is>
          <t>嵌入式</t>
        </is>
      </c>
      <c r="E70" s="26" t="n">
        <v>140</v>
      </c>
      <c r="F70" s="26" t="inlineStr">
        <is>
          <t>單相/220V/60Hz</t>
        </is>
      </c>
      <c r="G70" s="26" t="n">
        <v>0.203</v>
      </c>
      <c r="H70" s="23" t="n">
        <v>1.4</v>
      </c>
      <c r="J70" s="26" t="inlineStr">
        <is>
          <t>298×840×840</t>
        </is>
      </c>
      <c r="M70" s="26" t="inlineStr">
        <is>
          <t>RXQ42AHYLT</t>
        </is>
      </c>
      <c r="N70" s="26" t="n">
        <v>118</v>
      </c>
      <c r="O70" s="26" t="n">
        <v>1050</v>
      </c>
      <c r="P70" s="26" t="n">
        <v>31.56</v>
      </c>
      <c r="Q70" s="26" t="inlineStr">
        <is>
          <t>3相/4線/380V/60Hz</t>
        </is>
      </c>
      <c r="R70" s="26" t="n">
        <v>57.4</v>
      </c>
      <c r="S70" s="26" t="n">
        <v>105</v>
      </c>
      <c r="T70" s="21" t="inlineStr">
        <is>
          <t>(1657×930×765)+(1657×1240×765)+(1657×1240×765)</t>
        </is>
      </c>
    </row>
    <row r="71">
      <c r="M71" s="26" t="inlineStr">
        <is>
          <t>RXQ44AHYLT</t>
        </is>
      </c>
      <c r="N71" s="26" t="n">
        <v>123.5</v>
      </c>
      <c r="O71" s="26" t="n">
        <v>1100</v>
      </c>
      <c r="P71" s="26" t="n">
        <v>33.56</v>
      </c>
      <c r="Q71" s="26" t="inlineStr">
        <is>
          <t>3相/4線/380V/60Hz</t>
        </is>
      </c>
      <c r="R71" s="26" t="n">
        <v>60.8</v>
      </c>
      <c r="S71" s="26" t="n">
        <v>105</v>
      </c>
      <c r="T71" s="21" t="inlineStr">
        <is>
          <t>(1657×930×765)+(1657×1240×765)+(1657×1240×765)</t>
        </is>
      </c>
    </row>
    <row r="72">
      <c r="B72" s="32" t="inlineStr">
        <is>
          <t>嵌入式全方吹(智慧感應型)</t>
        </is>
      </c>
      <c r="C72" s="26" t="n"/>
      <c r="D72" s="26" t="n"/>
      <c r="E72" s="26" t="n"/>
      <c r="F72" s="26" t="n"/>
      <c r="G72" s="26" t="n"/>
      <c r="H72" s="23" t="n"/>
      <c r="J72" s="26" t="n"/>
      <c r="M72" s="26" t="inlineStr">
        <is>
          <t>RXQ46AHYLT</t>
        </is>
      </c>
      <c r="N72" s="26" t="n">
        <v>130</v>
      </c>
      <c r="O72" s="26" t="n">
        <v>1150</v>
      </c>
      <c r="P72" s="26" t="n">
        <v>35.65</v>
      </c>
      <c r="Q72" s="26" t="inlineStr">
        <is>
          <t>3相/4線/380V/60Hz</t>
        </is>
      </c>
      <c r="R72" s="26" t="n">
        <v>64.7</v>
      </c>
      <c r="S72" s="26" t="n">
        <v>115</v>
      </c>
      <c r="T72" s="21" t="inlineStr">
        <is>
          <t>(1657×1240×765)+(1657×1240×765)+(1657×1240×765)</t>
        </is>
      </c>
    </row>
    <row r="73">
      <c r="B73" s="26" t="inlineStr">
        <is>
          <t>FXFSQ25BVT</t>
        </is>
      </c>
      <c r="C73" s="26" t="n">
        <v>2.8</v>
      </c>
      <c r="D73" s="26" t="inlineStr">
        <is>
          <t>嵌入式</t>
        </is>
      </c>
      <c r="E73" s="26" t="n">
        <v>25</v>
      </c>
      <c r="F73" s="26" t="inlineStr">
        <is>
          <t>單相/220V/60Hz</t>
        </is>
      </c>
      <c r="G73" s="26" t="n">
        <v>0.028</v>
      </c>
      <c r="H73" s="23" t="n">
        <v>0.2</v>
      </c>
      <c r="J73" s="26" t="inlineStr">
        <is>
          <t>256×840×840</t>
        </is>
      </c>
      <c r="M73" s="26" t="inlineStr">
        <is>
          <t>RXQ48AHYLT</t>
        </is>
      </c>
      <c r="N73" s="26" t="n">
        <v>135</v>
      </c>
      <c r="O73" s="26" t="n">
        <v>1200</v>
      </c>
      <c r="P73" s="26" t="n">
        <v>36.45</v>
      </c>
      <c r="Q73" s="26" t="inlineStr">
        <is>
          <t>3相/4線/380V/60Hz</t>
        </is>
      </c>
      <c r="R73" s="26" t="n">
        <v>65.7</v>
      </c>
      <c r="S73" s="26" t="n">
        <v>120</v>
      </c>
      <c r="T73" s="21" t="inlineStr">
        <is>
          <t>(1657×1240×765)+(1657×1240×765)+(1657×1240×765)</t>
        </is>
      </c>
    </row>
    <row r="74">
      <c r="B74" s="26" t="inlineStr">
        <is>
          <t>FXFSQ32BVT</t>
        </is>
      </c>
      <c r="C74" s="26" t="n">
        <v>3.6</v>
      </c>
      <c r="D74" s="26" t="inlineStr">
        <is>
          <t>嵌入式</t>
        </is>
      </c>
      <c r="E74" s="26" t="n">
        <v>31.25</v>
      </c>
      <c r="F74" s="26" t="inlineStr">
        <is>
          <t>單相/220V/60Hz</t>
        </is>
      </c>
      <c r="G74" s="26" t="n">
        <v>0.028</v>
      </c>
      <c r="H74" s="23" t="n">
        <v>0.2</v>
      </c>
      <c r="J74" s="26" t="inlineStr">
        <is>
          <t>256×840×840</t>
        </is>
      </c>
    </row>
    <row r="75">
      <c r="B75" s="26" t="inlineStr">
        <is>
          <t>FXFSQ40BVT</t>
        </is>
      </c>
      <c r="C75" s="26" t="n">
        <v>4.5</v>
      </c>
      <c r="D75" s="26" t="inlineStr">
        <is>
          <t>嵌入式</t>
        </is>
      </c>
      <c r="E75" s="26" t="n">
        <v>40</v>
      </c>
      <c r="F75" s="26" t="inlineStr">
        <is>
          <t>單相/220V/60Hz</t>
        </is>
      </c>
      <c r="G75" s="26" t="n">
        <v>0.035</v>
      </c>
      <c r="H75" s="23" t="n">
        <v>0.3</v>
      </c>
      <c r="J75" s="26" t="inlineStr">
        <is>
          <t>256×840×840</t>
        </is>
      </c>
      <c r="M75" s="32" t="inlineStr">
        <is>
          <t>VRV-H標準型</t>
        </is>
      </c>
      <c r="N75" s="26" t="n"/>
      <c r="O75" s="26" t="n"/>
      <c r="P75" s="26" t="n"/>
      <c r="Q75" s="26" t="n"/>
      <c r="R75" s="26" t="n"/>
    </row>
    <row r="76">
      <c r="B76" s="26" t="inlineStr">
        <is>
          <t>FXFSQ50BVT</t>
        </is>
      </c>
      <c r="C76" s="26" t="n">
        <v>5.6</v>
      </c>
      <c r="D76" s="26" t="inlineStr">
        <is>
          <t>嵌入式</t>
        </is>
      </c>
      <c r="E76" s="26" t="n">
        <v>50</v>
      </c>
      <c r="F76" s="26" t="inlineStr">
        <is>
          <t>單相/220V/60Hz</t>
        </is>
      </c>
      <c r="G76" s="26" t="n">
        <v>0.056</v>
      </c>
      <c r="H76" s="23" t="n">
        <v>0.5</v>
      </c>
      <c r="J76" s="26" t="inlineStr">
        <is>
          <t>256×840×840</t>
        </is>
      </c>
      <c r="M76" s="26" t="inlineStr">
        <is>
          <t>RXYQ8AYLT</t>
        </is>
      </c>
      <c r="N76" s="26" t="n">
        <v>22.4</v>
      </c>
      <c r="O76" s="26" t="n">
        <v>200</v>
      </c>
      <c r="P76" s="26" t="n">
        <v>5.65</v>
      </c>
      <c r="Q76" s="26" t="inlineStr">
        <is>
          <t>3相/4線/380V/60Hz</t>
        </is>
      </c>
      <c r="R76" s="26" t="n">
        <v>10.6</v>
      </c>
      <c r="S76" s="26" t="n">
        <v>20</v>
      </c>
      <c r="T76" s="34" t="inlineStr">
        <is>
          <t>1657×930×765</t>
        </is>
      </c>
    </row>
    <row r="77">
      <c r="B77" s="26" t="inlineStr">
        <is>
          <t>FXFSQ63BVT</t>
        </is>
      </c>
      <c r="C77" s="26" t="n">
        <v>7.1</v>
      </c>
      <c r="D77" s="26" t="inlineStr">
        <is>
          <t>嵌入式</t>
        </is>
      </c>
      <c r="E77" s="26" t="n">
        <v>62.5</v>
      </c>
      <c r="F77" s="26" t="inlineStr">
        <is>
          <t>單相/220V/60Hz</t>
        </is>
      </c>
      <c r="G77" s="26" t="n">
        <v>0.061</v>
      </c>
      <c r="H77" s="23" t="n">
        <v>0.5</v>
      </c>
      <c r="J77" s="26" t="inlineStr">
        <is>
          <t>256×840×840</t>
        </is>
      </c>
      <c r="M77" s="26" t="inlineStr">
        <is>
          <t>RXYQ10AYLT</t>
        </is>
      </c>
      <c r="N77" s="26" t="n">
        <v>28</v>
      </c>
      <c r="O77" s="26" t="n">
        <v>250</v>
      </c>
      <c r="P77" s="26" t="n">
        <v>7.09</v>
      </c>
      <c r="Q77" s="26" t="inlineStr">
        <is>
          <t>3相/4線/380V/60Hz</t>
        </is>
      </c>
      <c r="R77" s="26" t="n">
        <v>13.2</v>
      </c>
      <c r="S77" s="26" t="n">
        <v>25</v>
      </c>
      <c r="T77" s="34" t="inlineStr">
        <is>
          <t>1657×930×765</t>
        </is>
      </c>
    </row>
    <row r="78">
      <c r="B78" s="26" t="inlineStr">
        <is>
          <t>FXFSQ80BVT</t>
        </is>
      </c>
      <c r="C78" s="26" t="n">
        <v>9</v>
      </c>
      <c r="D78" s="26" t="inlineStr">
        <is>
          <t>嵌入式</t>
        </is>
      </c>
      <c r="E78" s="26" t="n">
        <v>80</v>
      </c>
      <c r="F78" s="26" t="inlineStr">
        <is>
          <t>單相/220V/60Hz</t>
        </is>
      </c>
      <c r="G78" s="26" t="n">
        <v>0.164</v>
      </c>
      <c r="H78" s="23" t="n">
        <v>1.1</v>
      </c>
      <c r="J78" s="26" t="inlineStr">
        <is>
          <t>298×840×840</t>
        </is>
      </c>
      <c r="M78" s="26" t="inlineStr">
        <is>
          <t>RXYQ12AYLT</t>
        </is>
      </c>
      <c r="N78" s="26" t="n">
        <v>33.5</v>
      </c>
      <c r="O78" s="26" t="n">
        <v>300</v>
      </c>
      <c r="P78" s="26" t="n">
        <v>9.970000000000001</v>
      </c>
      <c r="Q78" s="26" t="inlineStr">
        <is>
          <t>3相/4線/380V/60Hz</t>
        </is>
      </c>
      <c r="R78" s="26" t="n">
        <v>18.2</v>
      </c>
      <c r="S78" s="26" t="n">
        <v>30</v>
      </c>
      <c r="T78" s="34" t="inlineStr">
        <is>
          <t>1657×930×765</t>
        </is>
      </c>
    </row>
    <row r="79">
      <c r="B79" s="26" t="inlineStr">
        <is>
          <t>FXFSQ100BVT</t>
        </is>
      </c>
      <c r="C79" s="26" t="n">
        <v>11.2</v>
      </c>
      <c r="D79" s="26" t="inlineStr">
        <is>
          <t>嵌入式</t>
        </is>
      </c>
      <c r="E79" s="26" t="n">
        <v>100</v>
      </c>
      <c r="F79" s="26" t="inlineStr">
        <is>
          <t>單相/220V/60Hz</t>
        </is>
      </c>
      <c r="G79" s="26" t="n">
        <v>0.164</v>
      </c>
      <c r="H79" s="23" t="n">
        <v>1.1</v>
      </c>
      <c r="J79" s="26" t="inlineStr">
        <is>
          <t>298×840×840</t>
        </is>
      </c>
      <c r="M79" s="26" t="inlineStr">
        <is>
          <t>RXYQ14AYLT</t>
        </is>
      </c>
      <c r="N79" s="26" t="n">
        <v>40</v>
      </c>
      <c r="O79" s="26" t="n">
        <v>350</v>
      </c>
      <c r="P79" s="26" t="n">
        <v>12.08</v>
      </c>
      <c r="Q79" s="26" t="inlineStr">
        <is>
          <t>3相/4線/380V/60Hz</t>
        </is>
      </c>
      <c r="R79" s="26" t="n">
        <v>22</v>
      </c>
      <c r="S79" s="26" t="n">
        <v>35</v>
      </c>
      <c r="T79" s="34" t="inlineStr">
        <is>
          <t>1657×1240×765</t>
        </is>
      </c>
    </row>
    <row r="80">
      <c r="B80" s="26" t="inlineStr">
        <is>
          <t>FXFSQ125BVT</t>
        </is>
      </c>
      <c r="C80" s="26" t="n">
        <v>14</v>
      </c>
      <c r="D80" s="26" t="inlineStr">
        <is>
          <t>嵌入式</t>
        </is>
      </c>
      <c r="E80" s="26" t="n">
        <v>125</v>
      </c>
      <c r="F80" s="26" t="inlineStr">
        <is>
          <t>單相/220V/60Hz</t>
        </is>
      </c>
      <c r="G80" s="26" t="n">
        <v>0.17</v>
      </c>
      <c r="H80" s="23" t="n">
        <v>1.3</v>
      </c>
      <c r="J80" s="26" t="inlineStr">
        <is>
          <t>298×840×840</t>
        </is>
      </c>
      <c r="M80" s="26" t="inlineStr">
        <is>
          <t>RXYQ16AYLT</t>
        </is>
      </c>
      <c r="N80" s="26" t="n">
        <v>45</v>
      </c>
      <c r="O80" s="26" t="n">
        <v>400</v>
      </c>
      <c r="P80" s="26" t="n">
        <v>13.92</v>
      </c>
      <c r="Q80" s="26" t="inlineStr">
        <is>
          <t>3相/4線/380V/60Hz</t>
        </is>
      </c>
      <c r="R80" s="26" t="n">
        <v>25.1</v>
      </c>
      <c r="S80" s="26" t="n">
        <v>40</v>
      </c>
      <c r="T80" s="34" t="inlineStr">
        <is>
          <t>1657×1240×765</t>
        </is>
      </c>
    </row>
    <row r="81">
      <c r="B81" s="26" t="inlineStr">
        <is>
          <t>FXFSQ140BVT</t>
        </is>
      </c>
      <c r="C81" s="26" t="n">
        <v>16</v>
      </c>
      <c r="D81" s="26" t="inlineStr">
        <is>
          <t>嵌入式</t>
        </is>
      </c>
      <c r="E81" s="26" t="n">
        <v>140</v>
      </c>
      <c r="F81" s="26" t="inlineStr">
        <is>
          <t>單相/220V/60Hz</t>
        </is>
      </c>
      <c r="G81" s="26" t="n">
        <v>0.194</v>
      </c>
      <c r="H81" s="23" t="n">
        <v>1.4</v>
      </c>
      <c r="J81" s="26" t="inlineStr">
        <is>
          <t>298×840×840</t>
        </is>
      </c>
      <c r="M81" s="26" t="inlineStr">
        <is>
          <t>RXYQ18AYLT</t>
        </is>
      </c>
      <c r="N81" s="26" t="n">
        <v>50</v>
      </c>
      <c r="O81" s="26" t="n">
        <v>450</v>
      </c>
      <c r="P81" s="26" t="n">
        <v>15.07</v>
      </c>
      <c r="Q81" s="26" t="inlineStr">
        <is>
          <t>3相/4線/380V/60Hz</t>
        </is>
      </c>
      <c r="R81" s="26" t="n">
        <v>27.3</v>
      </c>
      <c r="S81" s="26" t="n">
        <v>40</v>
      </c>
      <c r="T81" s="34" t="inlineStr">
        <is>
          <t>1657×1240×765</t>
        </is>
      </c>
    </row>
    <row r="82">
      <c r="M82" s="26" t="inlineStr">
        <is>
          <t>RXYQ20AYLT</t>
        </is>
      </c>
      <c r="N82" s="26" t="n">
        <v>54</v>
      </c>
      <c r="O82" s="26" t="n">
        <v>500</v>
      </c>
      <c r="P82" s="26" t="n">
        <v>16.5</v>
      </c>
      <c r="Q82" s="26" t="inlineStr">
        <is>
          <t>3相/4線/380V/60Hz</t>
        </is>
      </c>
      <c r="R82" s="26" t="n">
        <v>29.7</v>
      </c>
      <c r="S82" s="26" t="n">
        <v>45</v>
      </c>
      <c r="T82" s="34" t="inlineStr">
        <is>
          <t>1657×1240×765</t>
        </is>
      </c>
    </row>
    <row r="83">
      <c r="B83" s="26" t="inlineStr">
        <is>
          <t>壁掛式</t>
        </is>
      </c>
      <c r="C83" s="26" t="n"/>
      <c r="D83" s="26" t="n"/>
      <c r="E83" s="26" t="n"/>
      <c r="F83" s="26" t="n"/>
      <c r="G83" s="26" t="n"/>
      <c r="H83" s="23" t="n"/>
      <c r="J83" s="26" t="n"/>
      <c r="M83" s="26" t="inlineStr">
        <is>
          <t>RXYQ22ANYLT</t>
        </is>
      </c>
      <c r="N83" s="26" t="n">
        <v>61.5</v>
      </c>
      <c r="O83" s="26" t="n">
        <v>550</v>
      </c>
      <c r="P83" s="26" t="n">
        <v>17.06</v>
      </c>
      <c r="Q83" s="26" t="inlineStr">
        <is>
          <t>3相/4線/380V/60Hz</t>
        </is>
      </c>
      <c r="R83" s="26" t="n">
        <v>31.4</v>
      </c>
      <c r="S83" s="26" t="n">
        <v>50</v>
      </c>
      <c r="T83" s="26" t="inlineStr">
        <is>
          <t>(1657×930×765)+(1657×930×765)</t>
        </is>
      </c>
    </row>
    <row r="84">
      <c r="B84" s="26" t="inlineStr">
        <is>
          <t>FXAQ20AVLT</t>
        </is>
      </c>
      <c r="C84" s="26" t="n">
        <v>2.2</v>
      </c>
      <c r="D84" s="26" t="inlineStr">
        <is>
          <t>壁掛式</t>
        </is>
      </c>
      <c r="E84" s="26" t="n">
        <v>20</v>
      </c>
      <c r="F84" s="26" t="inlineStr">
        <is>
          <t>單相/220V/60Hz</t>
        </is>
      </c>
      <c r="G84" s="26" t="n">
        <v>0.04</v>
      </c>
      <c r="H84" s="23" t="n">
        <v>0.4</v>
      </c>
      <c r="J84" s="26" t="inlineStr">
        <is>
          <t>290×795×266</t>
        </is>
      </c>
      <c r="M84" s="26" t="inlineStr">
        <is>
          <t>RXYQ24ANYLT</t>
        </is>
      </c>
      <c r="N84" s="26" t="n">
        <v>67</v>
      </c>
      <c r="O84" s="26" t="n">
        <v>600</v>
      </c>
      <c r="P84" s="26" t="n">
        <v>19.94</v>
      </c>
      <c r="Q84" s="26" t="inlineStr">
        <is>
          <t>3相/4線/380V/60Hz</t>
        </is>
      </c>
      <c r="R84" s="26" t="n">
        <v>36.4</v>
      </c>
      <c r="S84" s="26" t="n">
        <v>60</v>
      </c>
      <c r="T84" s="26" t="inlineStr">
        <is>
          <t>(1657×930×765)+(1657×930×765)</t>
        </is>
      </c>
    </row>
    <row r="85">
      <c r="B85" s="26" t="inlineStr">
        <is>
          <t>FXAQ25AVLT</t>
        </is>
      </c>
      <c r="C85" s="26" t="n">
        <v>2.8</v>
      </c>
      <c r="D85" s="26" t="inlineStr">
        <is>
          <t>壁掛式</t>
        </is>
      </c>
      <c r="E85" s="26" t="n">
        <v>25</v>
      </c>
      <c r="F85" s="26" t="inlineStr">
        <is>
          <t>單相/220V/60Hz</t>
        </is>
      </c>
      <c r="G85" s="26" t="n">
        <v>0.04</v>
      </c>
      <c r="H85" s="23" t="n">
        <v>0.4</v>
      </c>
      <c r="J85" s="26" t="inlineStr">
        <is>
          <t>290×795×266</t>
        </is>
      </c>
      <c r="M85" s="26" t="inlineStr">
        <is>
          <t>RXYQ26ANYLT</t>
        </is>
      </c>
      <c r="N85" s="26" t="n">
        <v>73.5</v>
      </c>
      <c r="O85" s="26" t="n">
        <v>650</v>
      </c>
      <c r="P85" s="26" t="n">
        <v>22.05</v>
      </c>
      <c r="Q85" s="26" t="inlineStr">
        <is>
          <t>3相/4線/380V/60Hz</t>
        </is>
      </c>
      <c r="R85" s="26" t="n">
        <v>40.2</v>
      </c>
      <c r="S85" s="26" t="n">
        <v>60</v>
      </c>
      <c r="T85" s="26" t="inlineStr">
        <is>
          <t>(1657×930×765)+(1657×1240×765)</t>
        </is>
      </c>
    </row>
    <row r="86">
      <c r="B86" s="26" t="inlineStr">
        <is>
          <t>FXAQ32AVLT</t>
        </is>
      </c>
      <c r="C86" s="26" t="n">
        <v>3.6</v>
      </c>
      <c r="D86" s="26" t="inlineStr">
        <is>
          <t>壁掛式</t>
        </is>
      </c>
      <c r="E86" s="26" t="n">
        <v>31.25</v>
      </c>
      <c r="F86" s="26" t="inlineStr">
        <is>
          <t>單相/220V/60Hz</t>
        </is>
      </c>
      <c r="G86" s="26" t="n">
        <v>0.04</v>
      </c>
      <c r="H86" s="23" t="n">
        <v>0.4</v>
      </c>
      <c r="J86" s="26" t="inlineStr">
        <is>
          <t>290×795×266</t>
        </is>
      </c>
      <c r="M86" s="26" t="inlineStr">
        <is>
          <t>RXYQ28ANYLT</t>
        </is>
      </c>
      <c r="N86" s="26" t="n">
        <v>78.5</v>
      </c>
      <c r="O86" s="26" t="n">
        <v>700</v>
      </c>
      <c r="P86" s="26" t="n">
        <v>23.89</v>
      </c>
      <c r="Q86" s="26" t="inlineStr">
        <is>
          <t>3相/4線/380V/60Hz</t>
        </is>
      </c>
      <c r="R86" s="26" t="n">
        <v>43.3</v>
      </c>
      <c r="S86" s="26" t="n">
        <v>70</v>
      </c>
      <c r="T86" s="26" t="inlineStr">
        <is>
          <t>(1657×930×765)+(1657×1240×765)</t>
        </is>
      </c>
    </row>
    <row r="87">
      <c r="B87" s="26" t="inlineStr">
        <is>
          <t>FXAQ40AVLT</t>
        </is>
      </c>
      <c r="C87" s="26" t="n">
        <v>4.5</v>
      </c>
      <c r="D87" s="26" t="inlineStr">
        <is>
          <t>壁掛式</t>
        </is>
      </c>
      <c r="E87" s="26" t="n">
        <v>40</v>
      </c>
      <c r="F87" s="26" t="inlineStr">
        <is>
          <t>單相/220V/60Hz</t>
        </is>
      </c>
      <c r="G87" s="26" t="n">
        <v>0.05</v>
      </c>
      <c r="H87" s="23" t="n">
        <v>0.5</v>
      </c>
      <c r="J87" s="26" t="inlineStr">
        <is>
          <t>290×1050×269</t>
        </is>
      </c>
      <c r="M87" s="26" t="inlineStr">
        <is>
          <t>RXYQ30ANYLT</t>
        </is>
      </c>
      <c r="N87" s="26" t="n">
        <v>85</v>
      </c>
      <c r="O87" s="26" t="n">
        <v>750</v>
      </c>
      <c r="P87" s="26" t="n">
        <v>26</v>
      </c>
      <c r="Q87" s="26" t="inlineStr">
        <is>
          <t>3相/4線/380V/60Hz</t>
        </is>
      </c>
      <c r="R87" s="26" t="n">
        <v>47.1</v>
      </c>
      <c r="S87" s="26" t="n">
        <v>80</v>
      </c>
      <c r="T87" s="26" t="inlineStr">
        <is>
          <t>(1657*1240*765)+(1657*1240*765)</t>
        </is>
      </c>
    </row>
    <row r="88">
      <c r="B88" s="26" t="inlineStr">
        <is>
          <t>FXAQ50AVLT</t>
        </is>
      </c>
      <c r="C88" s="26" t="n">
        <v>5.6</v>
      </c>
      <c r="D88" s="26" t="inlineStr">
        <is>
          <t>壁掛式</t>
        </is>
      </c>
      <c r="E88" s="26" t="n">
        <v>50</v>
      </c>
      <c r="F88" s="26" t="inlineStr">
        <is>
          <t>單相/220V/60Hz</t>
        </is>
      </c>
      <c r="G88" s="26" t="n">
        <v>0.06</v>
      </c>
      <c r="H88" s="23" t="n">
        <v>0.5</v>
      </c>
      <c r="J88" s="26" t="inlineStr">
        <is>
          <t>290×1050×269</t>
        </is>
      </c>
      <c r="M88" s="26" t="inlineStr">
        <is>
          <t>RXYQ32ANYLT</t>
        </is>
      </c>
      <c r="N88" s="26" t="n">
        <v>90</v>
      </c>
      <c r="O88" s="26" t="n">
        <v>800</v>
      </c>
      <c r="P88" s="26" t="n">
        <v>27.15</v>
      </c>
      <c r="Q88" s="26" t="inlineStr">
        <is>
          <t>3相/4線/380V/60Hz</t>
        </is>
      </c>
      <c r="R88" s="26" t="n">
        <v>49.3</v>
      </c>
      <c r="S88" s="26" t="n">
        <v>80</v>
      </c>
      <c r="T88" s="26" t="inlineStr">
        <is>
          <t>(1657*1240*765)+(1657*1240*766)</t>
        </is>
      </c>
    </row>
    <row r="89">
      <c r="B89" s="26" t="inlineStr">
        <is>
          <t>FXAQ63AVLT</t>
        </is>
      </c>
      <c r="C89" s="26" t="n">
        <v>7.1</v>
      </c>
      <c r="D89" s="26" t="inlineStr">
        <is>
          <t>壁掛式</t>
        </is>
      </c>
      <c r="E89" s="26" t="n">
        <v>62.5</v>
      </c>
      <c r="F89" s="26" t="inlineStr">
        <is>
          <t>單相/220V/60Hz</t>
        </is>
      </c>
      <c r="G89" s="26" t="n">
        <v>0.1</v>
      </c>
      <c r="H89" s="23" t="n">
        <v>0.5</v>
      </c>
      <c r="J89" s="26" t="inlineStr">
        <is>
          <t>290×1050×269</t>
        </is>
      </c>
      <c r="M89" s="26" t="inlineStr">
        <is>
          <t>RXYQ34ANYLT</t>
        </is>
      </c>
      <c r="N89" s="26" t="n">
        <v>95</v>
      </c>
      <c r="O89" s="26" t="n">
        <v>850</v>
      </c>
      <c r="P89" s="26" t="n">
        <v>28.99</v>
      </c>
      <c r="Q89" s="26" t="inlineStr">
        <is>
          <t>3相/4線/380V/60Hz</t>
        </is>
      </c>
      <c r="R89" s="26" t="n">
        <v>52.4</v>
      </c>
      <c r="S89" s="26" t="n">
        <v>80</v>
      </c>
      <c r="T89" s="26" t="inlineStr">
        <is>
          <t>(1657*1240*765)+(1657*1240*767)</t>
        </is>
      </c>
    </row>
    <row r="90">
      <c r="M90" s="26" t="inlineStr">
        <is>
          <t>RXYQ36ANYLT</t>
        </is>
      </c>
      <c r="N90" s="26" t="n">
        <v>100</v>
      </c>
      <c r="O90" s="26" t="n">
        <v>900</v>
      </c>
      <c r="P90" s="26" t="n">
        <v>30.14</v>
      </c>
      <c r="Q90" s="26" t="inlineStr">
        <is>
          <t>3相/4線/380V/60Hz</t>
        </is>
      </c>
      <c r="R90" s="26" t="n">
        <v>54.6</v>
      </c>
      <c r="S90" s="26" t="n">
        <v>80</v>
      </c>
      <c r="T90" s="26" t="inlineStr">
        <is>
          <t>(1657*1240*765)+(1657*1240*768)</t>
        </is>
      </c>
    </row>
    <row r="91">
      <c r="B91" s="26" t="inlineStr">
        <is>
          <t>天吊式</t>
        </is>
      </c>
      <c r="C91" s="26" t="n"/>
      <c r="D91" s="26" t="n"/>
      <c r="E91" s="26" t="n"/>
      <c r="F91" s="26" t="n"/>
      <c r="G91" s="26" t="n"/>
      <c r="H91" s="23" t="n"/>
      <c r="J91" s="26" t="n"/>
      <c r="M91" s="26" t="inlineStr">
        <is>
          <t>RXYQ38ANYLT</t>
        </is>
      </c>
      <c r="N91" s="26" t="n">
        <v>104</v>
      </c>
      <c r="O91" s="26" t="n">
        <v>950</v>
      </c>
      <c r="P91" s="26" t="n">
        <v>31.57</v>
      </c>
      <c r="Q91" s="26" t="inlineStr">
        <is>
          <t>3相/4線/380V/60Hz</t>
        </is>
      </c>
      <c r="R91" s="26" t="n">
        <v>57</v>
      </c>
      <c r="S91" s="26" t="n">
        <v>90</v>
      </c>
      <c r="T91" s="26" t="inlineStr">
        <is>
          <t>(1657*1240*765)+(1657*1240*769)</t>
        </is>
      </c>
    </row>
    <row r="92">
      <c r="B92" s="26" t="inlineStr">
        <is>
          <t>FXHQ32MVET</t>
        </is>
      </c>
      <c r="C92" s="26" t="n">
        <v>3.6</v>
      </c>
      <c r="D92" s="26" t="inlineStr">
        <is>
          <t>天吊式</t>
        </is>
      </c>
      <c r="E92" s="26" t="n">
        <v>31.25</v>
      </c>
      <c r="F92" s="26" t="inlineStr">
        <is>
          <t>單相/220V/60Hz</t>
        </is>
      </c>
      <c r="G92" s="26" t="n">
        <v>0.142</v>
      </c>
      <c r="H92" s="23" t="n">
        <v>0.7</v>
      </c>
      <c r="J92" s="26" t="inlineStr">
        <is>
          <t>195×960×680</t>
        </is>
      </c>
      <c r="M92" s="26" t="inlineStr">
        <is>
          <t>RXYQ40ANYLT</t>
        </is>
      </c>
      <c r="N92" s="26" t="n">
        <v>108</v>
      </c>
      <c r="O92" s="26" t="n">
        <v>1000</v>
      </c>
      <c r="P92" s="26" t="n">
        <v>33</v>
      </c>
      <c r="Q92" s="26" t="inlineStr">
        <is>
          <t>3相/4線/380V/60Hz</t>
        </is>
      </c>
      <c r="R92" s="26" t="n">
        <v>59.4</v>
      </c>
      <c r="S92" s="26" t="n">
        <v>90</v>
      </c>
      <c r="T92" s="26" t="inlineStr">
        <is>
          <t>(1657*1240*765)+(1657*1240*770)</t>
        </is>
      </c>
    </row>
    <row r="93">
      <c r="B93" s="26" t="inlineStr">
        <is>
          <t>FXHQ63MVET</t>
        </is>
      </c>
      <c r="C93" s="26" t="n">
        <v>7.1</v>
      </c>
      <c r="D93" s="26" t="inlineStr">
        <is>
          <t>天吊式</t>
        </is>
      </c>
      <c r="E93" s="26" t="n">
        <v>62.5</v>
      </c>
      <c r="F93" s="26" t="inlineStr">
        <is>
          <t>單相/220V/60Hz</t>
        </is>
      </c>
      <c r="G93" s="26" t="n">
        <v>0.145</v>
      </c>
      <c r="H93" s="23" t="n">
        <v>0.7</v>
      </c>
      <c r="J93" s="26" t="inlineStr">
        <is>
          <t>195×1160×680</t>
        </is>
      </c>
      <c r="M93" s="26" t="inlineStr">
        <is>
          <t>RXYQ42ANYLT</t>
        </is>
      </c>
      <c r="N93" s="26" t="n">
        <v>117</v>
      </c>
      <c r="O93" s="26" t="n">
        <v>1050</v>
      </c>
      <c r="P93" s="26" t="n">
        <v>35.01</v>
      </c>
      <c r="Q93" s="26" t="inlineStr">
        <is>
          <t>3相/4線/380V/60Hz</t>
        </is>
      </c>
      <c r="R93" s="26" t="n">
        <v>63.7</v>
      </c>
      <c r="S93" s="26" t="n">
        <v>90</v>
      </c>
      <c r="T93" s="26" t="inlineStr">
        <is>
          <t>(1657×930×765)+(1657×930×765)+(1657×1240×765)</t>
        </is>
      </c>
    </row>
    <row r="94">
      <c r="B94" s="26" t="inlineStr">
        <is>
          <t>FXHQ100MVET</t>
        </is>
      </c>
      <c r="C94" s="26" t="n">
        <v>11.2</v>
      </c>
      <c r="D94" s="26" t="inlineStr">
        <is>
          <t>天吊式</t>
        </is>
      </c>
      <c r="E94" s="26" t="n">
        <v>100</v>
      </c>
      <c r="F94" s="26" t="inlineStr">
        <is>
          <t>單相/220V/60Hz</t>
        </is>
      </c>
      <c r="G94" s="26" t="n">
        <v>0.199</v>
      </c>
      <c r="H94" s="23" t="n">
        <v>1</v>
      </c>
      <c r="J94" s="26" t="inlineStr">
        <is>
          <t>195×1400×680</t>
        </is>
      </c>
      <c r="M94" s="26" t="inlineStr">
        <is>
          <t>RXYQ44ANYLT</t>
        </is>
      </c>
      <c r="N94" s="26" t="n">
        <v>121</v>
      </c>
      <c r="O94" s="26" t="n">
        <v>1100</v>
      </c>
      <c r="P94" s="26" t="n">
        <v>36.44</v>
      </c>
      <c r="Q94" s="26" t="inlineStr">
        <is>
          <t>3相/4線/380V/60Hz</t>
        </is>
      </c>
      <c r="R94" s="26" t="n">
        <v>66.09999999999999</v>
      </c>
      <c r="S94" s="26" t="n">
        <v>100</v>
      </c>
      <c r="T94" s="26" t="inlineStr">
        <is>
          <t>(1657×930×765)+(1657×930×765)+(1657×1240×766)</t>
        </is>
      </c>
    </row>
    <row r="95">
      <c r="M95" s="26" t="inlineStr">
        <is>
          <t>RXYQ46ANYLT</t>
        </is>
      </c>
      <c r="N95" s="26" t="n">
        <v>130</v>
      </c>
      <c r="O95" s="26" t="n">
        <v>1150</v>
      </c>
      <c r="P95" s="26" t="n">
        <v>39.23</v>
      </c>
      <c r="Q95" s="26" t="inlineStr">
        <is>
          <t>3相/4線/380V/60Hz</t>
        </is>
      </c>
      <c r="R95" s="26" t="n">
        <v>71.3</v>
      </c>
      <c r="S95" s="26" t="n">
        <v>110</v>
      </c>
      <c r="T95" s="26" t="inlineStr">
        <is>
          <t>(1657×1240×765)+(1657×1240×765)+(1657×1240×765)</t>
        </is>
      </c>
    </row>
    <row r="96">
      <c r="B96" s="26" t="inlineStr">
        <is>
          <t>落地箱型機</t>
        </is>
      </c>
      <c r="C96" s="26" t="n"/>
      <c r="D96" s="26" t="n"/>
      <c r="E96" s="26" t="n"/>
      <c r="F96" s="26" t="n"/>
      <c r="G96" s="26" t="n"/>
      <c r="H96" s="26" t="n"/>
      <c r="M96" s="26" t="inlineStr">
        <is>
          <t>RXYQ48ANYLT</t>
        </is>
      </c>
      <c r="N96" s="26" t="n">
        <v>135</v>
      </c>
      <c r="O96" s="26" t="n">
        <v>1200</v>
      </c>
      <c r="P96" s="26" t="n">
        <v>41.07</v>
      </c>
      <c r="Q96" s="26" t="inlineStr">
        <is>
          <t>3相/4線/380V/60Hz</t>
        </is>
      </c>
      <c r="R96" s="26" t="n">
        <v>74.40000000000001</v>
      </c>
      <c r="S96" s="26" t="n">
        <v>110</v>
      </c>
      <c r="T96" s="26" t="inlineStr">
        <is>
          <t>(1657×1240×765)+(1657×1240×765)+(1657×1240×765)</t>
        </is>
      </c>
    </row>
    <row r="97">
      <c r="B97" s="26" t="inlineStr">
        <is>
          <t>FXVQ250NTL</t>
        </is>
      </c>
      <c r="C97" s="26" t="n">
        <v>28</v>
      </c>
      <c r="D97" s="26" t="inlineStr">
        <is>
          <t>箱型機</t>
        </is>
      </c>
      <c r="E97" s="26" t="n">
        <v>250</v>
      </c>
      <c r="F97" s="26" t="inlineStr">
        <is>
          <t>3相/220V/60Hz</t>
        </is>
      </c>
      <c r="G97" s="26" t="n">
        <v>0.9</v>
      </c>
      <c r="H97" s="26" t="n">
        <v>6</v>
      </c>
      <c r="J97" s="26" t="inlineStr">
        <is>
          <t>1670×1170×510</t>
        </is>
      </c>
      <c r="M97" s="26" t="inlineStr">
        <is>
          <t>RXYQ50ANYLT</t>
        </is>
      </c>
      <c r="N97" s="26" t="n">
        <v>140</v>
      </c>
      <c r="O97" s="26" t="n">
        <v>1250</v>
      </c>
      <c r="P97" s="26" t="n">
        <v>42.22</v>
      </c>
      <c r="Q97" s="26" t="inlineStr">
        <is>
          <t>3相/4線/380V/60Hz</t>
        </is>
      </c>
      <c r="R97" s="26" t="n">
        <v>76.59999999999999</v>
      </c>
      <c r="S97" s="26" t="n">
        <v>110</v>
      </c>
      <c r="T97" s="26" t="inlineStr">
        <is>
          <t>(1657×1240×765)+(1657×1240×765)+(1657×1240×765)</t>
        </is>
      </c>
    </row>
    <row r="98">
      <c r="B98" s="26" t="inlineStr">
        <is>
          <t>FXVQ400NTL</t>
        </is>
      </c>
      <c r="C98" s="26" t="n">
        <v>45</v>
      </c>
      <c r="D98" s="26" t="inlineStr">
        <is>
          <t>箱型機</t>
        </is>
      </c>
      <c r="E98" s="26" t="n">
        <v>400</v>
      </c>
      <c r="F98" s="26" t="inlineStr">
        <is>
          <t>3相/220V/60Hz</t>
        </is>
      </c>
      <c r="G98" s="26" t="n">
        <v>2.56</v>
      </c>
      <c r="H98" s="26" t="n">
        <v>9.199999999999999</v>
      </c>
      <c r="J98" s="26" t="inlineStr">
        <is>
          <t>1900×1170×720</t>
        </is>
      </c>
      <c r="M98" s="26" t="inlineStr">
        <is>
          <t>RXYQ52ANYLT</t>
        </is>
      </c>
      <c r="N98" s="26" t="n">
        <v>145</v>
      </c>
      <c r="O98" s="26" t="n">
        <v>1300</v>
      </c>
      <c r="P98" s="26" t="n">
        <v>44.06</v>
      </c>
      <c r="Q98" s="26" t="inlineStr">
        <is>
          <t>3相/4線/380V/60Hz</t>
        </is>
      </c>
      <c r="R98" s="26" t="n">
        <v>79.7</v>
      </c>
      <c r="S98" s="26" t="n">
        <v>125</v>
      </c>
      <c r="T98" s="26" t="inlineStr">
        <is>
          <t>(1657×1240×765)+(1657×1240×765)+(1657×1240×765)</t>
        </is>
      </c>
    </row>
    <row r="99">
      <c r="B99" s="26" t="inlineStr">
        <is>
          <t>FXVQ500NTL</t>
        </is>
      </c>
      <c r="C99" s="26" t="n">
        <v>56</v>
      </c>
      <c r="D99" s="26" t="inlineStr">
        <is>
          <t>箱型機</t>
        </is>
      </c>
      <c r="E99" s="26" t="n">
        <v>500</v>
      </c>
      <c r="F99" s="26" t="inlineStr">
        <is>
          <t>3相/220V/60Hz</t>
        </is>
      </c>
      <c r="G99" s="26" t="n">
        <v>2.8</v>
      </c>
      <c r="H99" s="26" t="n">
        <v>13.8</v>
      </c>
      <c r="J99" s="26" t="inlineStr">
        <is>
          <t>1900×1470×720</t>
        </is>
      </c>
      <c r="M99" s="26" t="inlineStr">
        <is>
          <t>RXYQ54ANYLT</t>
        </is>
      </c>
      <c r="N99" s="26" t="n">
        <v>150</v>
      </c>
      <c r="O99" s="26" t="n">
        <v>1350</v>
      </c>
      <c r="P99" s="26" t="n">
        <v>45.21</v>
      </c>
      <c r="Q99" s="26" t="inlineStr">
        <is>
          <t>3相/4線/380V/60Hz</t>
        </is>
      </c>
      <c r="R99" s="26" t="n">
        <v>81.90000000000001</v>
      </c>
      <c r="S99" s="26" t="n">
        <v>125</v>
      </c>
      <c r="T99" s="26" t="inlineStr">
        <is>
          <t>(1657×1240×765)+(1657×1240×765)+(1657×1240×765)</t>
        </is>
      </c>
    </row>
    <row r="100">
      <c r="M100" s="26" t="inlineStr">
        <is>
          <t>RXYQ56ANYLT</t>
        </is>
      </c>
      <c r="N100" s="26" t="n">
        <v>154</v>
      </c>
      <c r="O100" s="26" t="n">
        <v>1400</v>
      </c>
      <c r="P100" s="26" t="n">
        <v>46.64</v>
      </c>
      <c r="Q100" s="26" t="inlineStr">
        <is>
          <t>3相/4線/380V/60Hz</t>
        </is>
      </c>
      <c r="R100" s="26" t="n">
        <v>84.3</v>
      </c>
      <c r="S100" s="26" t="n">
        <v>125</v>
      </c>
      <c r="T100" s="26" t="inlineStr">
        <is>
          <t>(1657×1240×765)+(1657×1240×765)+(1657×1240×765)</t>
        </is>
      </c>
    </row>
    <row r="101">
      <c r="B101" s="32" t="inlineStr">
        <is>
          <t>嵌入式(小型多方吹)</t>
        </is>
      </c>
      <c r="C101" s="26" t="n"/>
      <c r="D101" s="26" t="n"/>
      <c r="E101" s="26" t="n"/>
      <c r="F101" s="26" t="n"/>
      <c r="G101" s="26" t="n"/>
      <c r="H101" s="26" t="n"/>
      <c r="M101" s="26" t="inlineStr">
        <is>
          <t>RXYQ58ANYLT</t>
        </is>
      </c>
      <c r="N101" s="26" t="n">
        <v>158</v>
      </c>
      <c r="O101" s="26" t="n">
        <v>1450</v>
      </c>
      <c r="P101" s="26" t="n">
        <v>48.07</v>
      </c>
      <c r="Q101" s="26" t="inlineStr">
        <is>
          <t>3相/4線/380V/60Hz</t>
        </is>
      </c>
      <c r="R101" s="26" t="n">
        <v>86.7</v>
      </c>
      <c r="S101" s="26" t="n">
        <v>150</v>
      </c>
      <c r="T101" s="26" t="inlineStr">
        <is>
          <t>(1657×1240×765)+(1657×1240×765)+(1657×1240×765)</t>
        </is>
      </c>
    </row>
    <row r="102">
      <c r="B102" s="26" t="inlineStr">
        <is>
          <t>FXZQ20BVLT</t>
        </is>
      </c>
      <c r="C102" s="26" t="n">
        <v>2.2</v>
      </c>
      <c r="D102" s="26" t="inlineStr">
        <is>
          <t>嵌入式</t>
        </is>
      </c>
      <c r="E102" s="26" t="n">
        <v>20</v>
      </c>
      <c r="F102" s="26" t="inlineStr">
        <is>
          <t>單相/220V/60Hz</t>
        </is>
      </c>
      <c r="G102" s="26" t="n">
        <v>0.043</v>
      </c>
      <c r="H102" s="26" t="n">
        <v>0.2</v>
      </c>
      <c r="J102" s="26" t="inlineStr">
        <is>
          <t>260×575×575</t>
        </is>
      </c>
      <c r="M102" s="26" t="inlineStr">
        <is>
          <t>RXYQ60ANYLT</t>
        </is>
      </c>
      <c r="N102" s="26" t="n">
        <v>162</v>
      </c>
      <c r="O102" s="26" t="n">
        <v>1500</v>
      </c>
      <c r="P102" s="26" t="n">
        <v>49.5</v>
      </c>
      <c r="Q102" s="26" t="inlineStr">
        <is>
          <t>3相/4線/380V/60Hz</t>
        </is>
      </c>
      <c r="R102" s="26" t="n">
        <v>89.09999999999999</v>
      </c>
      <c r="S102" s="26" t="n">
        <v>150</v>
      </c>
      <c r="T102" s="26" t="inlineStr">
        <is>
          <t>(1657×1240×765)+(1657×1240×765)+(1657×1240×765)</t>
        </is>
      </c>
    </row>
    <row r="103">
      <c r="B103" s="26" t="inlineStr">
        <is>
          <t>FXZQ25BVLT</t>
        </is>
      </c>
      <c r="C103" s="26" t="n">
        <v>2.8</v>
      </c>
      <c r="D103" s="26" t="inlineStr">
        <is>
          <t>嵌入式</t>
        </is>
      </c>
      <c r="E103" s="26" t="n">
        <v>25</v>
      </c>
      <c r="F103" s="26" t="inlineStr">
        <is>
          <t>單相/220V/60Hz</t>
        </is>
      </c>
      <c r="G103" s="26" t="n">
        <v>0.043</v>
      </c>
      <c r="H103" s="26" t="n">
        <v>0.2</v>
      </c>
      <c r="J103" s="26" t="inlineStr">
        <is>
          <t>260×575×575</t>
        </is>
      </c>
    </row>
    <row r="104">
      <c r="B104" s="26" t="inlineStr">
        <is>
          <t>FXZQ32BVLT</t>
        </is>
      </c>
      <c r="C104" s="26" t="n">
        <v>3.6</v>
      </c>
      <c r="D104" s="26" t="inlineStr">
        <is>
          <t>嵌入式</t>
        </is>
      </c>
      <c r="E104" s="26" t="n">
        <v>31.25</v>
      </c>
      <c r="F104" s="26" t="inlineStr">
        <is>
          <t>單相/220V/60Hz</t>
        </is>
      </c>
      <c r="G104" s="26" t="n">
        <v>0.045</v>
      </c>
      <c r="H104" s="26" t="n">
        <v>0.3</v>
      </c>
      <c r="J104" s="26" t="inlineStr">
        <is>
          <t>260×575×575</t>
        </is>
      </c>
      <c r="M104" s="32" t="inlineStr">
        <is>
          <t>VRV-H高效率型</t>
        </is>
      </c>
      <c r="N104" s="26" t="n"/>
      <c r="O104" s="26" t="n"/>
      <c r="P104" s="26" t="n"/>
      <c r="Q104" s="26" t="n"/>
      <c r="R104" s="26" t="n"/>
    </row>
    <row r="105">
      <c r="B105" s="26" t="inlineStr">
        <is>
          <t>FXZQ40BVLT</t>
        </is>
      </c>
      <c r="C105" s="26" t="n">
        <v>4.5</v>
      </c>
      <c r="D105" s="26" t="inlineStr">
        <is>
          <t>嵌入式</t>
        </is>
      </c>
      <c r="E105" s="26" t="n">
        <v>40</v>
      </c>
      <c r="F105" s="26" t="inlineStr">
        <is>
          <t>單相/220V/60Hz</t>
        </is>
      </c>
      <c r="G105" s="26" t="n">
        <v>0.059</v>
      </c>
      <c r="H105" s="26" t="n">
        <v>0.3</v>
      </c>
      <c r="J105" s="26" t="inlineStr">
        <is>
          <t>260×575×575</t>
        </is>
      </c>
      <c r="M105" s="26" t="inlineStr">
        <is>
          <t>RXYQ16AHYLT</t>
        </is>
      </c>
      <c r="N105" s="26" t="n">
        <v>44.8</v>
      </c>
      <c r="O105" s="26" t="n">
        <v>400</v>
      </c>
      <c r="P105" s="26" t="n">
        <v>11.3</v>
      </c>
      <c r="Q105" s="26" t="inlineStr">
        <is>
          <t>3相/4線/380V/60Hz</t>
        </is>
      </c>
      <c r="R105" s="26" t="n">
        <v>21.2</v>
      </c>
      <c r="S105" s="26" t="n">
        <v>40</v>
      </c>
      <c r="T105" s="26" t="inlineStr">
        <is>
          <t>(1657×930×765)+(1657×930×765)</t>
        </is>
      </c>
    </row>
    <row r="106">
      <c r="B106" s="26" t="inlineStr">
        <is>
          <t>FXZQ50BVLT</t>
        </is>
      </c>
      <c r="C106" s="26" t="n">
        <v>5.6</v>
      </c>
      <c r="D106" s="26" t="inlineStr">
        <is>
          <t>嵌入式</t>
        </is>
      </c>
      <c r="E106" s="26" t="n">
        <v>50</v>
      </c>
      <c r="F106" s="26" t="inlineStr">
        <is>
          <t>單相/220V/60Hz</t>
        </is>
      </c>
      <c r="G106" s="26" t="n">
        <v>0.092</v>
      </c>
      <c r="H106" s="26" t="n">
        <v>0.5</v>
      </c>
      <c r="J106" s="26" t="inlineStr">
        <is>
          <t>260×575×575</t>
        </is>
      </c>
      <c r="M106" s="26" t="inlineStr">
        <is>
          <t>RXYQ18AHYLT</t>
        </is>
      </c>
      <c r="N106" s="26" t="n">
        <v>50.4</v>
      </c>
      <c r="O106" s="26" t="n">
        <v>450</v>
      </c>
      <c r="P106" s="26" t="n">
        <v>12.74</v>
      </c>
      <c r="Q106" s="26" t="inlineStr">
        <is>
          <t>3相/4線/380V/60Hz</t>
        </is>
      </c>
      <c r="R106" s="26" t="n">
        <v>23.8</v>
      </c>
      <c r="S106" s="26" t="n">
        <v>45</v>
      </c>
      <c r="T106" s="26" t="inlineStr">
        <is>
          <t>(1657×930×765)+(1657×930×765)</t>
        </is>
      </c>
    </row>
    <row r="107">
      <c r="M107" s="26" t="inlineStr">
        <is>
          <t>RXYQ20AHYLT</t>
        </is>
      </c>
      <c r="N107" s="26" t="n">
        <v>56</v>
      </c>
      <c r="O107" s="26" t="n">
        <v>500</v>
      </c>
      <c r="P107" s="26" t="n">
        <v>14.18</v>
      </c>
      <c r="Q107" s="26" t="inlineStr">
        <is>
          <t>3相/4線/380V/60Hz</t>
        </is>
      </c>
      <c r="R107" s="26" t="n">
        <v>26.4</v>
      </c>
      <c r="S107" s="26" t="n">
        <v>50</v>
      </c>
      <c r="T107" s="26" t="inlineStr">
        <is>
          <t>(1657×930×765)+(1657×930×765)</t>
        </is>
      </c>
    </row>
    <row r="108">
      <c r="B108" s="32" t="inlineStr">
        <is>
          <t>嵌入式(雙向吹)</t>
        </is>
      </c>
      <c r="C108" s="26" t="n"/>
      <c r="D108" s="26" t="n"/>
      <c r="E108" s="26" t="n"/>
      <c r="F108" s="26" t="n"/>
      <c r="G108" s="26" t="n"/>
      <c r="H108" s="26" t="n"/>
      <c r="M108" s="26" t="inlineStr">
        <is>
          <t>RXYQ22AHYLT</t>
        </is>
      </c>
      <c r="N108" s="26" t="n">
        <v>62.4</v>
      </c>
      <c r="O108" s="26" t="n">
        <v>550</v>
      </c>
      <c r="P108" s="26" t="n">
        <v>17.73</v>
      </c>
      <c r="Q108" s="26" t="inlineStr">
        <is>
          <t>3相/4線/380V/60Hz</t>
        </is>
      </c>
      <c r="R108" s="26" t="n">
        <v>32.6</v>
      </c>
      <c r="S108" s="26" t="n">
        <v>60</v>
      </c>
      <c r="T108" s="26" t="inlineStr">
        <is>
          <t>(1657×930×765)+(1657×1240×765)</t>
        </is>
      </c>
    </row>
    <row r="109">
      <c r="B109" s="26" t="inlineStr">
        <is>
          <t>FXCQ20AVT</t>
        </is>
      </c>
      <c r="C109" s="26" t="n">
        <v>2.2</v>
      </c>
      <c r="D109" s="26" t="inlineStr">
        <is>
          <t>嵌入式</t>
        </is>
      </c>
      <c r="E109" s="26" t="n">
        <v>20</v>
      </c>
      <c r="F109" s="26" t="inlineStr">
        <is>
          <t>單相/220V/60Hz</t>
        </is>
      </c>
      <c r="G109" s="26" t="n">
        <v>0.056</v>
      </c>
      <c r="H109" s="26" t="n">
        <v>0.2</v>
      </c>
      <c r="J109" s="26" t="inlineStr">
        <is>
          <t>305×775×620</t>
        </is>
      </c>
      <c r="M109" s="26" t="inlineStr">
        <is>
          <t>RXYQ24AHYLT</t>
        </is>
      </c>
      <c r="N109" s="26" t="n">
        <v>68</v>
      </c>
      <c r="O109" s="26" t="n">
        <v>600</v>
      </c>
      <c r="P109" s="26" t="n">
        <v>19.17</v>
      </c>
      <c r="Q109" s="26" t="inlineStr">
        <is>
          <t>3相/4線/380V/60Hz</t>
        </is>
      </c>
      <c r="R109" s="26" t="n">
        <v>35.2</v>
      </c>
      <c r="S109" s="26" t="n">
        <v>60</v>
      </c>
      <c r="T109" s="26" t="inlineStr">
        <is>
          <t>(1657×930×765)+(1657×1240×765)</t>
        </is>
      </c>
    </row>
    <row r="110">
      <c r="B110" s="26" t="inlineStr">
        <is>
          <t>FXCQ25AVT</t>
        </is>
      </c>
      <c r="C110" s="26" t="n">
        <v>2.8</v>
      </c>
      <c r="D110" s="26" t="inlineStr">
        <is>
          <t>嵌入式</t>
        </is>
      </c>
      <c r="E110" s="26" t="n">
        <v>25</v>
      </c>
      <c r="F110" s="26" t="inlineStr">
        <is>
          <t>單相/220V/60Hz</t>
        </is>
      </c>
      <c r="G110" s="26" t="n">
        <v>0.056</v>
      </c>
      <c r="H110" s="26" t="n">
        <v>0.2</v>
      </c>
      <c r="J110" s="26" t="inlineStr">
        <is>
          <t>305×775×620</t>
        </is>
      </c>
      <c r="M110" s="26" t="inlineStr">
        <is>
          <t>RXYQ26AHYLT</t>
        </is>
      </c>
      <c r="N110" s="26" t="n">
        <v>72.40000000000001</v>
      </c>
      <c r="O110" s="26" t="n">
        <v>650</v>
      </c>
      <c r="P110" s="26" t="n">
        <v>20.72</v>
      </c>
      <c r="Q110" s="26" t="inlineStr">
        <is>
          <t>3相/4線/380V/60Hz</t>
        </is>
      </c>
      <c r="R110" s="26" t="n">
        <v>37.9</v>
      </c>
      <c r="S110" s="26" t="n">
        <v>60</v>
      </c>
      <c r="T110" s="26" t="inlineStr">
        <is>
          <t>(1657×930×765)+(1657×1240×765)</t>
        </is>
      </c>
    </row>
    <row r="111">
      <c r="B111" s="26" t="inlineStr">
        <is>
          <t>FXCQ32AVT</t>
        </is>
      </c>
      <c r="C111" s="26" t="n">
        <v>3.6</v>
      </c>
      <c r="D111" s="26" t="inlineStr">
        <is>
          <t>嵌入式</t>
        </is>
      </c>
      <c r="E111" s="26" t="n">
        <v>31.25</v>
      </c>
      <c r="F111" s="26" t="inlineStr">
        <is>
          <t>單相/220V/60Hz</t>
        </is>
      </c>
      <c r="G111" s="26" t="n">
        <v>0.056</v>
      </c>
      <c r="H111" s="26" t="n">
        <v>0.2</v>
      </c>
      <c r="J111" s="26" t="inlineStr">
        <is>
          <t>305×775×620</t>
        </is>
      </c>
      <c r="M111" s="26" t="inlineStr">
        <is>
          <t>RXYQ28AHYLT</t>
        </is>
      </c>
      <c r="N111" s="26" t="n">
        <v>80</v>
      </c>
      <c r="O111" s="26" t="n">
        <v>700</v>
      </c>
      <c r="P111" s="26" t="n">
        <v>24.16</v>
      </c>
      <c r="Q111" s="26" t="inlineStr">
        <is>
          <t>3相/4線/380V/60Hz</t>
        </is>
      </c>
      <c r="R111" s="26" t="n">
        <v>44</v>
      </c>
      <c r="S111" s="26" t="n">
        <v>70</v>
      </c>
      <c r="T111" s="26" t="inlineStr">
        <is>
          <t>(1657×1240×765)+(1657×1240×765)</t>
        </is>
      </c>
    </row>
    <row r="112">
      <c r="B112" s="26" t="inlineStr">
        <is>
          <t>FXCQ40AVT</t>
        </is>
      </c>
      <c r="C112" s="26" t="n">
        <v>4.5</v>
      </c>
      <c r="D112" s="26" t="inlineStr">
        <is>
          <t>嵌入式</t>
        </is>
      </c>
      <c r="E112" s="26" t="n">
        <v>40</v>
      </c>
      <c r="F112" s="26" t="inlineStr">
        <is>
          <t>單相/220V/60Hz</t>
        </is>
      </c>
      <c r="G112" s="26" t="n">
        <v>0.056</v>
      </c>
      <c r="H112" s="26" t="n">
        <v>0.2</v>
      </c>
      <c r="J112" s="26" t="inlineStr">
        <is>
          <t>305×775×620</t>
        </is>
      </c>
      <c r="M112" s="26" t="inlineStr">
        <is>
          <t>RXYQ30AHYLT</t>
        </is>
      </c>
      <c r="N112" s="26" t="n">
        <v>83.90000000000001</v>
      </c>
      <c r="O112" s="26" t="n">
        <v>750</v>
      </c>
      <c r="P112" s="26" t="n">
        <v>22.71</v>
      </c>
      <c r="Q112" s="26" t="inlineStr">
        <is>
          <t>3相/4線/380V/60Hz</t>
        </is>
      </c>
      <c r="R112" s="26" t="n">
        <v>42</v>
      </c>
      <c r="S112" s="26" t="n">
        <v>70</v>
      </c>
      <c r="T112" s="26" t="inlineStr">
        <is>
          <t>(1657×930×765)+(1657×930×765)+(1657×930×765)</t>
        </is>
      </c>
    </row>
    <row r="113">
      <c r="B113" s="26" t="inlineStr">
        <is>
          <t>FXCQ50AVT</t>
        </is>
      </c>
      <c r="C113" s="26" t="n">
        <v>5.6</v>
      </c>
      <c r="D113" s="26" t="inlineStr">
        <is>
          <t>嵌入式</t>
        </is>
      </c>
      <c r="E113" s="26" t="n">
        <v>50</v>
      </c>
      <c r="F113" s="26" t="inlineStr">
        <is>
          <t>單相/220V/60Hz</t>
        </is>
      </c>
      <c r="G113" s="26" t="n">
        <v>0.056</v>
      </c>
      <c r="H113" s="26" t="n">
        <v>0.3</v>
      </c>
      <c r="J113" s="26" t="inlineStr">
        <is>
          <t>305×990×620</t>
        </is>
      </c>
      <c r="M113" s="26" t="inlineStr">
        <is>
          <t>RXYQ32AHYLT</t>
        </is>
      </c>
      <c r="N113" s="26" t="n">
        <v>89.40000000000001</v>
      </c>
      <c r="O113" s="26" t="n">
        <v>800</v>
      </c>
      <c r="P113" s="26" t="n">
        <v>25.59</v>
      </c>
      <c r="Q113" s="26" t="inlineStr">
        <is>
          <t>3相/4線/380V/60Hz</t>
        </is>
      </c>
      <c r="R113" s="26" t="n">
        <v>47</v>
      </c>
      <c r="S113" s="26" t="n">
        <v>70</v>
      </c>
      <c r="T113" s="26" t="inlineStr">
        <is>
          <t>(1657×930×765)+(1657×930×765)+(1657×930×765)</t>
        </is>
      </c>
    </row>
    <row r="114">
      <c r="B114" s="26" t="inlineStr">
        <is>
          <t>FXCQ63AVT</t>
        </is>
      </c>
      <c r="C114" s="26" t="n">
        <v>7.1</v>
      </c>
      <c r="D114" s="26" t="inlineStr">
        <is>
          <t>嵌入式</t>
        </is>
      </c>
      <c r="E114" s="26" t="n">
        <v>62.5</v>
      </c>
      <c r="F114" s="26" t="inlineStr">
        <is>
          <t>單相/220V/60Hz</t>
        </is>
      </c>
      <c r="G114" s="26" t="n">
        <v>0.106</v>
      </c>
      <c r="H114" s="26" t="n">
        <v>0.4</v>
      </c>
      <c r="J114" s="26" t="inlineStr">
        <is>
          <t>305×990×620</t>
        </is>
      </c>
      <c r="M114" s="26" t="inlineStr">
        <is>
          <t>RXYQ34AHYLT</t>
        </is>
      </c>
      <c r="N114" s="26" t="n">
        <v>95</v>
      </c>
      <c r="O114" s="26" t="n">
        <v>850</v>
      </c>
      <c r="P114" s="26" t="n">
        <v>27.03</v>
      </c>
      <c r="Q114" s="26" t="inlineStr">
        <is>
          <t>3相/4線/380V/60Hz</t>
        </is>
      </c>
      <c r="R114" s="26" t="n">
        <v>49.6</v>
      </c>
      <c r="S114" s="26" t="n">
        <v>80</v>
      </c>
      <c r="T114" s="26" t="inlineStr">
        <is>
          <t>(1657×930×765)+(1657×930×765)+(1657×930×765)</t>
        </is>
      </c>
    </row>
    <row r="115">
      <c r="B115" s="26" t="inlineStr">
        <is>
          <t>FXCQ80AVT</t>
        </is>
      </c>
      <c r="C115" s="26" t="n">
        <v>9</v>
      </c>
      <c r="D115" s="26" t="inlineStr">
        <is>
          <t>嵌入式</t>
        </is>
      </c>
      <c r="E115" s="26" t="n">
        <v>80</v>
      </c>
      <c r="F115" s="26" t="inlineStr">
        <is>
          <t>單相/220V/60Hz</t>
        </is>
      </c>
      <c r="G115" s="26" t="n">
        <v>0.112</v>
      </c>
      <c r="H115" s="26" t="n">
        <v>0.5</v>
      </c>
      <c r="J115" s="26" t="inlineStr">
        <is>
          <t>305×1445×620</t>
        </is>
      </c>
      <c r="M115" s="26" t="inlineStr">
        <is>
          <t>RXYQ36AHYLT</t>
        </is>
      </c>
      <c r="N115" s="26" t="n">
        <v>100.5</v>
      </c>
      <c r="O115" s="26" t="n">
        <v>900</v>
      </c>
      <c r="P115" s="26" t="n">
        <v>29.91</v>
      </c>
      <c r="Q115" s="26" t="inlineStr">
        <is>
          <t>3相/4線/380V/60Hz</t>
        </is>
      </c>
      <c r="R115" s="26" t="n">
        <v>54.6</v>
      </c>
      <c r="S115" s="26" t="n">
        <v>80</v>
      </c>
      <c r="T115" s="26" t="inlineStr">
        <is>
          <t>(1657×930×765)+(1657×930×765)+(1657×930×765)</t>
        </is>
      </c>
    </row>
    <row r="116">
      <c r="B116" s="26" t="inlineStr">
        <is>
          <t>FXCQ125AVT</t>
        </is>
      </c>
      <c r="C116" s="26" t="n">
        <v>14</v>
      </c>
      <c r="D116" s="26" t="inlineStr">
        <is>
          <t>嵌入式</t>
        </is>
      </c>
      <c r="E116" s="26" t="n">
        <v>125</v>
      </c>
      <c r="F116" s="26" t="inlineStr">
        <is>
          <t>單相/220V/60Hz</t>
        </is>
      </c>
      <c r="G116" s="26" t="n">
        <v>0.212</v>
      </c>
      <c r="H116" s="26" t="n">
        <v>0.9</v>
      </c>
      <c r="J116" s="26" t="inlineStr">
        <is>
          <t>305×1445×620</t>
        </is>
      </c>
      <c r="M116" s="26" t="inlineStr">
        <is>
          <t>RXYQ38AHYLT</t>
        </is>
      </c>
      <c r="N116" s="26" t="n">
        <v>106</v>
      </c>
      <c r="O116" s="26" t="n">
        <v>950</v>
      </c>
      <c r="P116" s="26" t="n">
        <v>29.25</v>
      </c>
      <c r="Q116" s="26" t="inlineStr">
        <is>
          <t>3相/4線/380V/60Hz</t>
        </is>
      </c>
      <c r="R116" s="26" t="n">
        <v>53.7</v>
      </c>
      <c r="S116" s="26" t="n">
        <v>90</v>
      </c>
      <c r="T116" s="26" t="inlineStr">
        <is>
          <t>(1657×930×765)+(1657×930×765)+(1657×1240×765)</t>
        </is>
      </c>
    </row>
    <row r="117">
      <c r="M117" s="26" t="inlineStr">
        <is>
          <t>RXYQ40AHYLT</t>
        </is>
      </c>
      <c r="N117" s="26" t="n">
        <v>112</v>
      </c>
      <c r="O117" s="26" t="n">
        <v>1000</v>
      </c>
      <c r="P117" s="26" t="n">
        <v>33.86</v>
      </c>
      <c r="Q117" s="26" t="inlineStr">
        <is>
          <t>3相/4線/380V/60Hz</t>
        </is>
      </c>
      <c r="R117" s="26" t="n">
        <v>61.5</v>
      </c>
      <c r="S117" s="26" t="n">
        <v>90</v>
      </c>
      <c r="T117" s="26" t="inlineStr">
        <is>
          <t>(1657×930×765)+(1657×930×765)+(1657×1240×765)</t>
        </is>
      </c>
    </row>
    <row r="118">
      <c r="B118" s="32" t="inlineStr">
        <is>
          <t>家用系列(小型多方吹)</t>
        </is>
      </c>
      <c r="C118" s="26" t="n"/>
      <c r="D118" s="26" t="n"/>
      <c r="E118" s="26" t="n"/>
      <c r="F118" s="26" t="n"/>
      <c r="M118" s="26" t="inlineStr">
        <is>
          <t>RXYQ42AHYLT</t>
        </is>
      </c>
      <c r="N118" s="26" t="n">
        <v>118</v>
      </c>
      <c r="O118" s="26" t="n">
        <v>1050</v>
      </c>
      <c r="P118" s="26" t="n">
        <v>34.24</v>
      </c>
      <c r="Q118" s="26" t="inlineStr">
        <is>
          <t>3相/4線/380V/60Hz</t>
        </is>
      </c>
      <c r="R118" s="26" t="n">
        <v>62.5</v>
      </c>
      <c r="S118" s="26" t="n">
        <v>100</v>
      </c>
      <c r="T118" s="26" t="inlineStr">
        <is>
          <t>(1657×930×765)+(1657×1240×765)+(1657×1240×765)</t>
        </is>
      </c>
    </row>
    <row r="119">
      <c r="B119" s="26" t="inlineStr">
        <is>
          <t>FFQ25JVLT</t>
        </is>
      </c>
      <c r="C119" s="26" t="n">
        <v>2.5</v>
      </c>
      <c r="D119" s="26" t="inlineStr">
        <is>
          <t>嵌入式</t>
        </is>
      </c>
      <c r="E119" s="26" t="n">
        <v>25</v>
      </c>
      <c r="F119" s="26" t="inlineStr">
        <is>
          <t>單相/220V/60Hz</t>
        </is>
      </c>
      <c r="G119" s="217" t="n">
        <v>0.073</v>
      </c>
      <c r="H119" s="26" t="n">
        <v>0.37</v>
      </c>
      <c r="J119" s="26" t="inlineStr">
        <is>
          <t>55×700×700</t>
        </is>
      </c>
      <c r="M119" s="26" t="inlineStr">
        <is>
          <t>RXYQ44AHYLT</t>
        </is>
      </c>
      <c r="N119" s="26" t="n">
        <v>123.5</v>
      </c>
      <c r="O119" s="26" t="n">
        <v>1100</v>
      </c>
      <c r="P119" s="26" t="n">
        <v>37.12</v>
      </c>
      <c r="Q119" s="26" t="inlineStr">
        <is>
          <t>3相/4線/380V/60Hz</t>
        </is>
      </c>
      <c r="R119" s="26" t="n">
        <v>67.5</v>
      </c>
      <c r="S119" s="26" t="n">
        <v>100</v>
      </c>
      <c r="T119" s="26" t="inlineStr">
        <is>
          <t>(1657×930×765)+(1657×1240×765)+(1657×1240×765)</t>
        </is>
      </c>
    </row>
    <row r="120">
      <c r="B120" s="26" t="inlineStr">
        <is>
          <t>FFQ30JVLT</t>
        </is>
      </c>
      <c r="C120" s="26" t="n">
        <v>3</v>
      </c>
      <c r="D120" s="26" t="inlineStr">
        <is>
          <t>嵌入式</t>
        </is>
      </c>
      <c r="E120" s="26" t="n">
        <v>30</v>
      </c>
      <c r="F120" s="26" t="inlineStr">
        <is>
          <t>單相/220V/60Hz</t>
        </is>
      </c>
      <c r="G120" s="26" t="n">
        <v>0.08400000000000001</v>
      </c>
      <c r="H120" s="26" t="n">
        <v>0.4</v>
      </c>
      <c r="J120" s="26" t="inlineStr">
        <is>
          <t>55×700×700</t>
        </is>
      </c>
      <c r="M120" s="26" t="inlineStr">
        <is>
          <t>RXYQ46AHYLT</t>
        </is>
      </c>
      <c r="N120" s="26" t="n">
        <v>128</v>
      </c>
      <c r="O120" s="26" t="n">
        <v>1150</v>
      </c>
      <c r="P120" s="26" t="n">
        <v>37.23</v>
      </c>
      <c r="Q120" s="26" t="inlineStr">
        <is>
          <t>3相/4線/380V/60Hz</t>
        </is>
      </c>
      <c r="R120" s="26" t="n">
        <v>67.8</v>
      </c>
      <c r="S120" s="26" t="n">
        <v>110</v>
      </c>
      <c r="T120" s="26" t="inlineStr">
        <is>
          <t>(1657×930×765)+(1657×1240×765)+(1657×1240×765)</t>
        </is>
      </c>
    </row>
    <row r="121">
      <c r="B121" s="26" t="inlineStr">
        <is>
          <t>FFQ40JVLT</t>
        </is>
      </c>
      <c r="C121" s="26" t="n">
        <v>4</v>
      </c>
      <c r="D121" s="26" t="inlineStr">
        <is>
          <t>嵌入式</t>
        </is>
      </c>
      <c r="E121" s="26" t="n">
        <v>40</v>
      </c>
      <c r="F121" s="26" t="inlineStr">
        <is>
          <t>單相/220V/60Hz</t>
        </is>
      </c>
      <c r="G121" s="26" t="n">
        <v>0.097</v>
      </c>
      <c r="H121" s="26" t="n">
        <v>0.49</v>
      </c>
      <c r="J121" s="26" t="inlineStr">
        <is>
          <t>55×700×700</t>
        </is>
      </c>
      <c r="M121" s="26" t="inlineStr">
        <is>
          <t>RXYQ48AHYLT</t>
        </is>
      </c>
      <c r="N121" s="26" t="n">
        <v>133.5</v>
      </c>
      <c r="O121" s="26" t="n">
        <v>1200</v>
      </c>
      <c r="P121" s="26" t="n">
        <v>40.11</v>
      </c>
      <c r="Q121" s="26" t="inlineStr">
        <is>
          <t>3相/4線/380V/60Hz</t>
        </is>
      </c>
      <c r="R121" s="26" t="n">
        <v>72.8</v>
      </c>
      <c r="S121" s="26" t="n">
        <v>110</v>
      </c>
      <c r="T121" s="26" t="inlineStr">
        <is>
          <t>(1657×930×765)+(1657×1240×765)+(1657×1240×765)</t>
        </is>
      </c>
    </row>
    <row r="122">
      <c r="B122" s="26" t="inlineStr">
        <is>
          <t>FFQ50JVLT</t>
        </is>
      </c>
      <c r="C122" s="26" t="n">
        <v>5</v>
      </c>
      <c r="D122" s="26" t="inlineStr">
        <is>
          <t>嵌入式</t>
        </is>
      </c>
      <c r="E122" s="26" t="n">
        <v>50</v>
      </c>
      <c r="F122" s="26" t="inlineStr">
        <is>
          <t>單相/220V/60Hz</t>
        </is>
      </c>
      <c r="G122" s="26" t="n">
        <v>0.097</v>
      </c>
      <c r="H122" s="26" t="n">
        <v>0.49</v>
      </c>
      <c r="J122" s="26" t="inlineStr">
        <is>
          <t>55×700×700</t>
        </is>
      </c>
      <c r="AB122" s="40" t="inlineStr">
        <is>
          <t>橫綱S</t>
        </is>
      </c>
      <c r="AC122" s="215" t="n"/>
      <c r="AD122" s="23" t="n"/>
      <c r="AE122" s="26" t="n"/>
      <c r="AF122" s="26" t="n"/>
      <c r="AG122" s="26" t="n"/>
      <c r="AJ122" s="40" t="inlineStr">
        <is>
          <t>橫綱S</t>
        </is>
      </c>
      <c r="AK122" s="23" t="n"/>
      <c r="AL122" s="26" t="n"/>
      <c r="AM122" s="26" t="n"/>
      <c r="AN122" s="23" t="n"/>
      <c r="AO122" s="23" t="n"/>
    </row>
    <row r="123">
      <c r="B123" s="26" t="inlineStr">
        <is>
          <t>FFQ60JVLT</t>
        </is>
      </c>
      <c r="C123" s="26" t="n">
        <v>6</v>
      </c>
      <c r="D123" s="26" t="inlineStr">
        <is>
          <t>嵌入式</t>
        </is>
      </c>
      <c r="E123" s="26" t="n">
        <v>60</v>
      </c>
      <c r="F123" s="26" t="inlineStr">
        <is>
          <t>單相/220V/60Hz</t>
        </is>
      </c>
      <c r="G123" s="26" t="n">
        <v>0.12</v>
      </c>
      <c r="H123" s="26" t="n">
        <v>0.61</v>
      </c>
      <c r="J123" s="26" t="inlineStr">
        <is>
          <t>55×700×700</t>
        </is>
      </c>
      <c r="M123" s="32" t="inlineStr">
        <is>
          <t>VRV III (一般型)</t>
        </is>
      </c>
      <c r="N123" s="26" t="n"/>
      <c r="O123" s="26" t="n"/>
      <c r="P123" s="26" t="n"/>
      <c r="Q123" s="26" t="n"/>
      <c r="R123" s="26" t="n"/>
      <c r="AB123" s="23" t="inlineStr">
        <is>
          <t>FTXM22SVLT</t>
        </is>
      </c>
      <c r="AC123" s="215" t="n">
        <v>2.2</v>
      </c>
      <c r="AD123" s="23" t="inlineStr">
        <is>
          <t>壁掛式</t>
        </is>
      </c>
      <c r="AE123" s="26" t="inlineStr">
        <is>
          <t>-</t>
        </is>
      </c>
      <c r="AF123" s="26" t="inlineStr">
        <is>
          <t>室外機供電</t>
        </is>
      </c>
      <c r="AG123" s="26" t="inlineStr">
        <is>
          <t>-</t>
        </is>
      </c>
      <c r="AJ123" s="23" t="inlineStr">
        <is>
          <t>RXM22SVLT</t>
        </is>
      </c>
      <c r="AK123" s="23" t="inlineStr">
        <is>
          <t>匹配室內機能力</t>
        </is>
      </c>
      <c r="AL123" s="26" t="inlineStr">
        <is>
          <t>-</t>
        </is>
      </c>
      <c r="AM123" s="23" t="n">
        <v>0.388</v>
      </c>
      <c r="AN123" s="26" t="inlineStr">
        <is>
          <t>單相/220V/60Hz</t>
        </is>
      </c>
      <c r="AO123" s="26" t="n">
        <v>2.5</v>
      </c>
    </row>
    <row r="124">
      <c r="M124" s="26" t="inlineStr">
        <is>
          <t>RXYQ8PTLT</t>
        </is>
      </c>
      <c r="N124" s="26" t="n">
        <v>22.4</v>
      </c>
      <c r="O124" s="26" t="n">
        <v>200</v>
      </c>
      <c r="P124" s="26" t="n">
        <v>6.28</v>
      </c>
      <c r="Q124" s="26" t="inlineStr">
        <is>
          <t>3相/220V/60Hz</t>
        </is>
      </c>
      <c r="R124" s="26" t="n">
        <v>18.8</v>
      </c>
      <c r="S124" s="26" t="n">
        <v>40</v>
      </c>
      <c r="T124" s="26" t="inlineStr">
        <is>
          <t>1680×930×765</t>
        </is>
      </c>
      <c r="AB124" s="23" t="inlineStr">
        <is>
          <t>FTXM28SVLT</t>
        </is>
      </c>
      <c r="AC124" s="215" t="n">
        <v>2.8</v>
      </c>
      <c r="AD124" s="23" t="inlineStr">
        <is>
          <t>壁掛式</t>
        </is>
      </c>
      <c r="AE124" s="26" t="inlineStr">
        <is>
          <t>-</t>
        </is>
      </c>
      <c r="AF124" s="26" t="inlineStr">
        <is>
          <t>室外機供電</t>
        </is>
      </c>
      <c r="AG124" s="26" t="inlineStr">
        <is>
          <t>-</t>
        </is>
      </c>
      <c r="AJ124" s="23" t="inlineStr">
        <is>
          <t>RXM28SVLT</t>
        </is>
      </c>
      <c r="AK124" s="23" t="inlineStr">
        <is>
          <t>匹配室內機能力</t>
        </is>
      </c>
      <c r="AL124" s="26" t="inlineStr">
        <is>
          <t>-</t>
        </is>
      </c>
      <c r="AM124" s="23" t="n">
        <v>0.543</v>
      </c>
      <c r="AN124" s="26" t="inlineStr">
        <is>
          <t>單相/220V/60Hz</t>
        </is>
      </c>
      <c r="AO124" s="26" t="n">
        <v>2.7</v>
      </c>
    </row>
    <row r="125">
      <c r="B125" s="32" t="inlineStr">
        <is>
          <t>家用系列(吊隱式)</t>
        </is>
      </c>
      <c r="C125" s="26" t="n"/>
      <c r="D125" s="26" t="n"/>
      <c r="E125" s="26" t="n"/>
      <c r="F125" s="26" t="n"/>
      <c r="M125" s="26" t="inlineStr">
        <is>
          <t>RXYQ10PTLT</t>
        </is>
      </c>
      <c r="N125" s="26" t="n">
        <v>28</v>
      </c>
      <c r="O125" s="26" t="n">
        <v>250</v>
      </c>
      <c r="P125" s="26" t="n">
        <v>8.99</v>
      </c>
      <c r="Q125" s="26" t="inlineStr">
        <is>
          <t>3相/220V/60Hz</t>
        </is>
      </c>
      <c r="R125" s="26" t="n">
        <v>25.8</v>
      </c>
      <c r="S125" s="26" t="n">
        <v>45</v>
      </c>
      <c r="T125" s="26" t="inlineStr">
        <is>
          <t>1680×930×765</t>
        </is>
      </c>
      <c r="AB125" s="23" t="inlineStr">
        <is>
          <t>FTXM36SVLT</t>
        </is>
      </c>
      <c r="AC125" s="215" t="n">
        <v>3.5</v>
      </c>
      <c r="AD125" s="23" t="inlineStr">
        <is>
          <t>壁掛式</t>
        </is>
      </c>
      <c r="AE125" s="26" t="inlineStr">
        <is>
          <t>-</t>
        </is>
      </c>
      <c r="AF125" s="26" t="inlineStr">
        <is>
          <t>室外機供電</t>
        </is>
      </c>
      <c r="AG125" s="26" t="inlineStr">
        <is>
          <t>-</t>
        </is>
      </c>
      <c r="AJ125" s="23" t="inlineStr">
        <is>
          <t>RXM36SVLT</t>
        </is>
      </c>
      <c r="AK125" s="23" t="inlineStr">
        <is>
          <t>匹配室內機能力</t>
        </is>
      </c>
      <c r="AL125" s="26" t="inlineStr">
        <is>
          <t>-</t>
        </is>
      </c>
      <c r="AM125" s="23" t="n">
        <v>0.785</v>
      </c>
      <c r="AN125" s="26" t="inlineStr">
        <is>
          <t>單相/220V/60Hz</t>
        </is>
      </c>
      <c r="AO125" s="26" t="n">
        <v>3.8</v>
      </c>
    </row>
    <row r="126">
      <c r="B126" s="26" t="inlineStr">
        <is>
          <t>CDXS25EAVMT</t>
        </is>
      </c>
      <c r="C126" s="26" t="n">
        <v>2.5</v>
      </c>
      <c r="D126" s="23" t="inlineStr">
        <is>
          <t>吊隱式</t>
        </is>
      </c>
      <c r="E126" s="26" t="n">
        <v>25</v>
      </c>
      <c r="F126" s="26" t="inlineStr">
        <is>
          <t>單相/220V/60Hz</t>
        </is>
      </c>
      <c r="G126" s="26" t="n">
        <v>0.062</v>
      </c>
      <c r="H126" s="26" t="n">
        <v>0.5</v>
      </c>
      <c r="J126" s="26" t="inlineStr">
        <is>
          <t>200×700×620</t>
        </is>
      </c>
      <c r="M126" s="26" t="inlineStr">
        <is>
          <t>RXYQ12PTLT</t>
        </is>
      </c>
      <c r="N126" s="26" t="n">
        <v>33.5</v>
      </c>
      <c r="O126" s="26" t="n">
        <v>300</v>
      </c>
      <c r="P126" s="26" t="n">
        <v>10.27</v>
      </c>
      <c r="Q126" s="26" t="inlineStr">
        <is>
          <t>3相/220V/60Hz</t>
        </is>
      </c>
      <c r="R126" s="26" t="n">
        <v>29.4</v>
      </c>
      <c r="S126" s="26" t="n">
        <v>50</v>
      </c>
      <c r="T126" s="26" t="inlineStr">
        <is>
          <t>1680×1240×765</t>
        </is>
      </c>
      <c r="AB126" s="23" t="inlineStr">
        <is>
          <t>FTXM41SVLT</t>
        </is>
      </c>
      <c r="AC126" s="215" t="n">
        <v>4.1</v>
      </c>
      <c r="AD126" s="23" t="inlineStr">
        <is>
          <t>壁掛式</t>
        </is>
      </c>
      <c r="AE126" s="26" t="inlineStr">
        <is>
          <t>-</t>
        </is>
      </c>
      <c r="AF126" s="26" t="inlineStr">
        <is>
          <t>室外機供電</t>
        </is>
      </c>
      <c r="AG126" s="26" t="inlineStr">
        <is>
          <t>-</t>
        </is>
      </c>
      <c r="AJ126" s="23" t="inlineStr">
        <is>
          <t>RXM41SVLT</t>
        </is>
      </c>
      <c r="AK126" s="23" t="inlineStr">
        <is>
          <t>匹配室內機能力</t>
        </is>
      </c>
      <c r="AL126" s="26" t="inlineStr">
        <is>
          <t>-</t>
        </is>
      </c>
      <c r="AM126" s="23" t="n">
        <v>0.915</v>
      </c>
      <c r="AN126" s="26" t="inlineStr">
        <is>
          <t>單相/220V/60Hz</t>
        </is>
      </c>
      <c r="AO126" s="26" t="n">
        <v>4.5</v>
      </c>
    </row>
    <row r="127">
      <c r="B127" s="26" t="inlineStr">
        <is>
          <t>CDXS30JVLT</t>
        </is>
      </c>
      <c r="C127" s="26" t="n">
        <v>3</v>
      </c>
      <c r="D127" s="23" t="inlineStr">
        <is>
          <t>吊隱式</t>
        </is>
      </c>
      <c r="E127" s="26" t="n">
        <v>30</v>
      </c>
      <c r="F127" s="26" t="inlineStr">
        <is>
          <t>單相/220V/60Hz</t>
        </is>
      </c>
      <c r="G127" s="26" t="n">
        <v>0.062</v>
      </c>
      <c r="H127" s="26" t="n">
        <v>0.5</v>
      </c>
      <c r="J127" s="26" t="inlineStr">
        <is>
          <t>200×700×620</t>
        </is>
      </c>
      <c r="M127" s="26" t="inlineStr">
        <is>
          <t>RXYQ14PTLT</t>
        </is>
      </c>
      <c r="N127" s="26" t="n">
        <v>39</v>
      </c>
      <c r="O127" s="26" t="n">
        <v>350</v>
      </c>
      <c r="P127" s="26" t="n">
        <v>12.8</v>
      </c>
      <c r="Q127" s="26" t="inlineStr">
        <is>
          <t>3相/220V/60Hz</t>
        </is>
      </c>
      <c r="R127" s="26" t="n">
        <v>37.3</v>
      </c>
      <c r="S127" s="26" t="n">
        <v>65</v>
      </c>
      <c r="T127" s="26" t="inlineStr">
        <is>
          <t>1680×1240×766</t>
        </is>
      </c>
      <c r="AB127" s="23" t="inlineStr">
        <is>
          <t>FTXM50SVLT</t>
        </is>
      </c>
      <c r="AC127" s="215" t="n">
        <v>5</v>
      </c>
      <c r="AD127" s="23" t="inlineStr">
        <is>
          <t>壁掛式</t>
        </is>
      </c>
      <c r="AE127" s="26" t="inlineStr">
        <is>
          <t>-</t>
        </is>
      </c>
      <c r="AF127" s="26" t="inlineStr">
        <is>
          <t>室外機供電</t>
        </is>
      </c>
      <c r="AG127" s="26" t="inlineStr">
        <is>
          <t>-</t>
        </is>
      </c>
      <c r="AJ127" s="23" t="inlineStr">
        <is>
          <t>RXM50SVLT</t>
        </is>
      </c>
      <c r="AK127" s="23" t="inlineStr">
        <is>
          <t>匹配室內機能力</t>
        </is>
      </c>
      <c r="AL127" s="26" t="inlineStr">
        <is>
          <t>-</t>
        </is>
      </c>
      <c r="AM127" s="23" t="n">
        <v>1.27</v>
      </c>
      <c r="AN127" s="26" t="inlineStr">
        <is>
          <t>單相/220V/60Hz</t>
        </is>
      </c>
      <c r="AO127" s="26" t="n">
        <v>6.1</v>
      </c>
    </row>
    <row r="128">
      <c r="B128" s="26" t="inlineStr">
        <is>
          <t>CDXS40JVLT</t>
        </is>
      </c>
      <c r="C128" s="26" t="n">
        <v>4</v>
      </c>
      <c r="D128" s="23" t="inlineStr">
        <is>
          <t>吊隱式</t>
        </is>
      </c>
      <c r="E128" s="26" t="n">
        <v>40</v>
      </c>
      <c r="F128" s="26" t="inlineStr">
        <is>
          <t>單相/220V/60Hz</t>
        </is>
      </c>
      <c r="G128" s="26" t="n">
        <v>0.13</v>
      </c>
      <c r="H128" s="26" t="n">
        <v>0.7</v>
      </c>
      <c r="J128" s="26" t="inlineStr">
        <is>
          <t>200×900×620</t>
        </is>
      </c>
      <c r="M128" s="26" t="inlineStr">
        <is>
          <t>RXYQ16PTLT</t>
        </is>
      </c>
      <c r="N128" s="26" t="n">
        <v>42.5</v>
      </c>
      <c r="O128" s="26" t="n">
        <v>400</v>
      </c>
      <c r="P128" s="26" t="n">
        <v>14.18</v>
      </c>
      <c r="Q128" s="26" t="inlineStr">
        <is>
          <t>3相/220V/60Hz</t>
        </is>
      </c>
      <c r="R128" s="26" t="n">
        <v>40.6</v>
      </c>
      <c r="S128" s="26" t="n">
        <v>65</v>
      </c>
      <c r="T128" s="26" t="inlineStr">
        <is>
          <t>1680×1240×767</t>
        </is>
      </c>
      <c r="AB128" s="23" t="inlineStr">
        <is>
          <t>FTXM60SVLT</t>
        </is>
      </c>
      <c r="AC128" s="215" t="n">
        <v>6.3</v>
      </c>
      <c r="AD128" s="23" t="inlineStr">
        <is>
          <t>壁掛式</t>
        </is>
      </c>
      <c r="AE128" s="26" t="inlineStr">
        <is>
          <t>-</t>
        </is>
      </c>
      <c r="AF128" s="26" t="inlineStr">
        <is>
          <t>室外機供電</t>
        </is>
      </c>
      <c r="AG128" s="26" t="inlineStr">
        <is>
          <t>-</t>
        </is>
      </c>
      <c r="AJ128" s="23" t="inlineStr">
        <is>
          <t>RXM60SVLT</t>
        </is>
      </c>
      <c r="AK128" s="23" t="inlineStr">
        <is>
          <t>匹配室內機能力</t>
        </is>
      </c>
      <c r="AL128" s="26" t="inlineStr">
        <is>
          <t>-</t>
        </is>
      </c>
      <c r="AM128" s="23" t="n">
        <v>1.77</v>
      </c>
      <c r="AN128" s="26" t="inlineStr">
        <is>
          <t>單相/220V/60Hz</t>
        </is>
      </c>
      <c r="AO128" s="26" t="n">
        <v>8.300000000000001</v>
      </c>
    </row>
    <row r="129">
      <c r="B129" s="26" t="inlineStr">
        <is>
          <t>CDXS50DVMT</t>
        </is>
      </c>
      <c r="C129" s="26" t="n">
        <v>5</v>
      </c>
      <c r="D129" s="23" t="inlineStr">
        <is>
          <t>吊隱式</t>
        </is>
      </c>
      <c r="E129" s="26" t="n">
        <v>50</v>
      </c>
      <c r="F129" s="26" t="inlineStr">
        <is>
          <t>單相/220V/60Hz</t>
        </is>
      </c>
      <c r="G129" s="26" t="n">
        <v>0.13</v>
      </c>
      <c r="H129" s="26" t="n">
        <v>0.7</v>
      </c>
      <c r="J129" s="26" t="inlineStr">
        <is>
          <t>200×900×620</t>
        </is>
      </c>
      <c r="M129" s="26" t="inlineStr">
        <is>
          <t>RXYQ18PTLT</t>
        </is>
      </c>
      <c r="N129" s="26" t="n">
        <v>50.4</v>
      </c>
      <c r="O129" s="26" t="n">
        <v>450</v>
      </c>
      <c r="P129" s="26" t="n">
        <v>15.27</v>
      </c>
      <c r="Q129" s="26" t="inlineStr">
        <is>
          <t>3相/220V/60Hz</t>
        </is>
      </c>
      <c r="R129" s="26" t="n">
        <v>44.6</v>
      </c>
      <c r="S129" s="26" t="n">
        <v>80</v>
      </c>
      <c r="T129" s="26" t="inlineStr">
        <is>
          <t>(1680×930×767)+(1680×930×767)</t>
        </is>
      </c>
      <c r="AB129" s="23" t="inlineStr">
        <is>
          <t>FTXM71SVLT</t>
        </is>
      </c>
      <c r="AC129" s="215" t="n">
        <v>7.2</v>
      </c>
      <c r="AD129" s="23" t="inlineStr">
        <is>
          <t>壁掛式</t>
        </is>
      </c>
      <c r="AE129" s="26" t="inlineStr">
        <is>
          <t>-</t>
        </is>
      </c>
      <c r="AF129" s="26" t="inlineStr">
        <is>
          <t>室外機供電</t>
        </is>
      </c>
      <c r="AG129" s="26" t="inlineStr">
        <is>
          <t>-</t>
        </is>
      </c>
      <c r="AJ129" s="23" t="inlineStr">
        <is>
          <t>RXM71SVLT</t>
        </is>
      </c>
      <c r="AK129" s="23" t="inlineStr">
        <is>
          <t>匹配室內機能力</t>
        </is>
      </c>
      <c r="AL129" s="26" t="inlineStr">
        <is>
          <t>-</t>
        </is>
      </c>
      <c r="AM129" s="23" t="n">
        <v>2.15</v>
      </c>
      <c r="AN129" s="26" t="inlineStr">
        <is>
          <t>單相/220V/60Hz</t>
        </is>
      </c>
      <c r="AO129" s="26" t="n">
        <v>10</v>
      </c>
    </row>
    <row r="130">
      <c r="B130" s="26" t="inlineStr">
        <is>
          <t>CDXS60DVMT</t>
        </is>
      </c>
      <c r="C130" s="26" t="n">
        <v>6</v>
      </c>
      <c r="D130" s="23" t="inlineStr">
        <is>
          <t>吊隱式</t>
        </is>
      </c>
      <c r="E130" s="26" t="n">
        <v>60</v>
      </c>
      <c r="F130" s="26" t="inlineStr">
        <is>
          <t>單相/220V/60Hz</t>
        </is>
      </c>
      <c r="G130" s="26" t="n">
        <v>0.13</v>
      </c>
      <c r="H130" s="26" t="n">
        <v>0.8</v>
      </c>
      <c r="J130" s="26" t="inlineStr">
        <is>
          <t>200×1100×620</t>
        </is>
      </c>
      <c r="M130" s="26" t="inlineStr">
        <is>
          <t>RXYQ20PTLT</t>
        </is>
      </c>
      <c r="N130" s="26" t="n">
        <v>56</v>
      </c>
      <c r="O130" s="26" t="n">
        <v>500</v>
      </c>
      <c r="P130" s="26" t="n">
        <v>17.98</v>
      </c>
      <c r="Q130" s="26" t="inlineStr">
        <is>
          <t>3相/220V/60Hz</t>
        </is>
      </c>
      <c r="R130" s="26" t="n">
        <v>51.6</v>
      </c>
      <c r="S130" s="26" t="n">
        <v>90</v>
      </c>
      <c r="T130" s="26" t="inlineStr">
        <is>
          <t>(1680×930×767)+(1680×930×767)</t>
        </is>
      </c>
    </row>
    <row r="131">
      <c r="M131" s="26" t="inlineStr">
        <is>
          <t>RXYQ22PTLT</t>
        </is>
      </c>
      <c r="N131" s="26" t="n">
        <v>61.4</v>
      </c>
      <c r="O131" s="26" t="n">
        <v>550</v>
      </c>
      <c r="P131" s="26" t="n">
        <v>19.08</v>
      </c>
      <c r="Q131" s="26" t="inlineStr">
        <is>
          <t>3相/220V/60Hz</t>
        </is>
      </c>
      <c r="R131" s="26" t="n">
        <v>56.1</v>
      </c>
      <c r="S131" s="26" t="n">
        <v>100</v>
      </c>
      <c r="T131" s="26" t="inlineStr">
        <is>
          <t>(1680×930×767)+(1680×1240×767)</t>
        </is>
      </c>
    </row>
    <row r="132">
      <c r="B132" s="32" t="inlineStr">
        <is>
          <t>家用系列(壁掛式)</t>
        </is>
      </c>
      <c r="C132" s="26" t="n"/>
      <c r="D132" s="26" t="n"/>
      <c r="E132" s="26" t="n"/>
      <c r="F132" s="26" t="n"/>
      <c r="I132" s="20" t="n"/>
      <c r="J132" s="20" t="n"/>
      <c r="M132" s="26" t="inlineStr">
        <is>
          <t>RXYQ24PTLT</t>
        </is>
      </c>
      <c r="N132" s="26" t="n">
        <v>64.90000000000001</v>
      </c>
      <c r="O132" s="26" t="n">
        <v>600</v>
      </c>
      <c r="P132" s="26" t="n">
        <v>20.46</v>
      </c>
      <c r="Q132" s="26" t="inlineStr">
        <is>
          <t>3相/220V/60Hz</t>
        </is>
      </c>
      <c r="R132" s="26" t="n">
        <v>59.4</v>
      </c>
      <c r="S132" s="26" t="n">
        <v>100</v>
      </c>
      <c r="T132" s="26" t="inlineStr">
        <is>
          <t>(1680×930×767)+(1680×1240×767)</t>
        </is>
      </c>
      <c r="AB132" s="40" t="inlineStr">
        <is>
          <t>經典R</t>
        </is>
      </c>
      <c r="AC132" s="215" t="n"/>
      <c r="AD132" s="23" t="n"/>
      <c r="AE132" s="26" t="n"/>
      <c r="AF132" s="26" t="n"/>
      <c r="AG132" s="26" t="n"/>
      <c r="AJ132" s="40" t="inlineStr">
        <is>
          <t>經典R</t>
        </is>
      </c>
      <c r="AK132" s="23" t="n"/>
      <c r="AL132" s="26" t="n"/>
      <c r="AM132" s="26" t="n"/>
      <c r="AN132" s="23" t="n"/>
      <c r="AO132" s="23" t="n"/>
    </row>
    <row r="133">
      <c r="B133" s="26" t="inlineStr">
        <is>
          <t>FTXS20KVLT</t>
        </is>
      </c>
      <c r="C133" s="26" t="n">
        <v>2</v>
      </c>
      <c r="D133" s="26" t="inlineStr">
        <is>
          <t>壁掛式</t>
        </is>
      </c>
      <c r="E133" s="26" t="n">
        <v>20</v>
      </c>
      <c r="F133" s="26" t="inlineStr">
        <is>
          <t>單相/220V/60Hz</t>
        </is>
      </c>
      <c r="G133" s="26" t="n">
        <v>0.018</v>
      </c>
      <c r="H133" s="26" t="n">
        <v>0.09</v>
      </c>
      <c r="J133" s="26" t="inlineStr">
        <is>
          <t>295×800×215</t>
        </is>
      </c>
      <c r="M133" s="26" t="inlineStr">
        <is>
          <t>RXYQ26PTLT</t>
        </is>
      </c>
      <c r="N133" s="26" t="n">
        <v>70.5</v>
      </c>
      <c r="O133" s="26" t="n">
        <v>650</v>
      </c>
      <c r="P133" s="26" t="n">
        <v>23.17</v>
      </c>
      <c r="Q133" s="26" t="inlineStr">
        <is>
          <t>3相/220V/60Hz</t>
        </is>
      </c>
      <c r="R133" s="26" t="n">
        <v>66.40000000000001</v>
      </c>
      <c r="S133" s="26" t="n">
        <v>110</v>
      </c>
      <c r="T133" s="26" t="inlineStr">
        <is>
          <t>(1680×930×767)+(1680×1240×767)</t>
        </is>
      </c>
      <c r="AB133" s="23" t="inlineStr">
        <is>
          <t>FTHF20RVLT</t>
        </is>
      </c>
      <c r="AC133" s="215" t="n">
        <v>2.2</v>
      </c>
      <c r="AD133" s="23" t="inlineStr">
        <is>
          <t>壁掛式</t>
        </is>
      </c>
      <c r="AE133" s="26" t="inlineStr">
        <is>
          <t>-</t>
        </is>
      </c>
      <c r="AF133" s="26" t="inlineStr">
        <is>
          <t>室外機供電</t>
        </is>
      </c>
      <c r="AG133" s="26" t="inlineStr">
        <is>
          <t>-</t>
        </is>
      </c>
      <c r="AJ133" s="23" t="inlineStr">
        <is>
          <t>RHF20RVLT</t>
        </is>
      </c>
      <c r="AK133" s="23" t="inlineStr">
        <is>
          <t>匹配室內機能力</t>
        </is>
      </c>
      <c r="AL133" s="26" t="inlineStr">
        <is>
          <t>-</t>
        </is>
      </c>
      <c r="AM133" s="23" t="n">
        <v>0.515</v>
      </c>
      <c r="AN133" s="26" t="inlineStr">
        <is>
          <t>單相/220V/60Hz</t>
        </is>
      </c>
      <c r="AO133" s="26" t="n">
        <v>3.1</v>
      </c>
    </row>
    <row r="134">
      <c r="B134" s="26" t="inlineStr">
        <is>
          <t>FTXS25KVLT</t>
        </is>
      </c>
      <c r="C134" s="26" t="n">
        <v>2.5</v>
      </c>
      <c r="D134" s="26" t="inlineStr">
        <is>
          <t>壁掛式</t>
        </is>
      </c>
      <c r="E134" s="26" t="n">
        <v>25</v>
      </c>
      <c r="F134" s="26" t="inlineStr">
        <is>
          <t>單相/220V/60Hz</t>
        </is>
      </c>
      <c r="G134" s="26" t="n">
        <v>0.018</v>
      </c>
      <c r="H134" s="26" t="n">
        <v>0.09</v>
      </c>
      <c r="J134" s="26" t="inlineStr">
        <is>
          <t>295×800×215</t>
        </is>
      </c>
      <c r="M134" s="26" t="inlineStr">
        <is>
          <t>RXYQ28PTLT</t>
        </is>
      </c>
      <c r="N134" s="26" t="n">
        <v>76</v>
      </c>
      <c r="O134" s="26" t="n">
        <v>700</v>
      </c>
      <c r="P134" s="26" t="n">
        <v>24.45</v>
      </c>
      <c r="Q134" s="26" t="inlineStr">
        <is>
          <t>3相/220V/60Hz</t>
        </is>
      </c>
      <c r="R134" s="26" t="n">
        <v>70</v>
      </c>
      <c r="S134" s="26" t="n">
        <v>110</v>
      </c>
      <c r="T134" s="26" t="inlineStr">
        <is>
          <t>(1680×1240×767)+(1680×1240×767)</t>
        </is>
      </c>
      <c r="AB134" s="23" t="inlineStr">
        <is>
          <t>FTHF25RVLT</t>
        </is>
      </c>
      <c r="AC134" s="215" t="n">
        <v>2.5</v>
      </c>
      <c r="AD134" s="23" t="inlineStr">
        <is>
          <t>壁掛式</t>
        </is>
      </c>
      <c r="AE134" s="26" t="inlineStr">
        <is>
          <t>-</t>
        </is>
      </c>
      <c r="AF134" s="26" t="inlineStr">
        <is>
          <t>室外機供電</t>
        </is>
      </c>
      <c r="AG134" s="26" t="inlineStr">
        <is>
          <t>-</t>
        </is>
      </c>
      <c r="AJ134" s="23" t="inlineStr">
        <is>
          <t>RHF25RVLT</t>
        </is>
      </c>
      <c r="AK134" s="23" t="inlineStr">
        <is>
          <t>匹配室內機能力</t>
        </is>
      </c>
      <c r="AL134" s="26" t="inlineStr">
        <is>
          <t>-</t>
        </is>
      </c>
      <c r="AM134" s="23" t="n">
        <v>0.59</v>
      </c>
      <c r="AN134" s="26" t="inlineStr">
        <is>
          <t>單相/220V/60Hz</t>
        </is>
      </c>
      <c r="AO134" s="26" t="n">
        <v>3</v>
      </c>
    </row>
    <row r="135">
      <c r="B135" s="26" t="inlineStr">
        <is>
          <t>CTXS30KVLT</t>
        </is>
      </c>
      <c r="C135" s="26" t="n">
        <v>3</v>
      </c>
      <c r="D135" s="26" t="inlineStr">
        <is>
          <t>壁掛式</t>
        </is>
      </c>
      <c r="E135" s="26" t="n">
        <v>30</v>
      </c>
      <c r="F135" s="26" t="inlineStr">
        <is>
          <t>單相/220V/60Hz</t>
        </is>
      </c>
      <c r="G135" s="26" t="n">
        <v>0.034</v>
      </c>
      <c r="H135" s="26" t="n">
        <v>0.16</v>
      </c>
      <c r="J135" s="26" t="inlineStr">
        <is>
          <t>290×1050×250</t>
        </is>
      </c>
      <c r="M135" s="26" t="inlineStr">
        <is>
          <t>RXYQ30PTLT</t>
        </is>
      </c>
      <c r="N135" s="26" t="n">
        <v>81.5</v>
      </c>
      <c r="O135" s="26" t="n">
        <v>750</v>
      </c>
      <c r="P135" s="26" t="n">
        <v>26.98</v>
      </c>
      <c r="Q135" s="26" t="inlineStr">
        <is>
          <t>3相/220V/60Hz</t>
        </is>
      </c>
      <c r="R135" s="26" t="n">
        <v>77.90000000000001</v>
      </c>
      <c r="S135" s="26" t="n">
        <v>150</v>
      </c>
      <c r="T135" s="26" t="inlineStr">
        <is>
          <t>(1680×1240×767)+(1680×1240×767)</t>
        </is>
      </c>
      <c r="AB135" s="23" t="inlineStr">
        <is>
          <t>FTHF30RVLT</t>
        </is>
      </c>
      <c r="AC135" s="215" t="n">
        <v>3</v>
      </c>
      <c r="AD135" s="23" t="inlineStr">
        <is>
          <t>壁掛式</t>
        </is>
      </c>
      <c r="AE135" s="26" t="inlineStr">
        <is>
          <t>-</t>
        </is>
      </c>
      <c r="AF135" s="26" t="inlineStr">
        <is>
          <t>室外機供電</t>
        </is>
      </c>
      <c r="AG135" s="26" t="inlineStr">
        <is>
          <t>-</t>
        </is>
      </c>
      <c r="AJ135" s="23" t="inlineStr">
        <is>
          <t>RHF30RVLT</t>
        </is>
      </c>
      <c r="AK135" s="23" t="inlineStr">
        <is>
          <t>匹配室內機能力</t>
        </is>
      </c>
      <c r="AL135" s="26" t="inlineStr">
        <is>
          <t>-</t>
        </is>
      </c>
      <c r="AM135" s="23" t="n">
        <v>0.77</v>
      </c>
      <c r="AN135" s="26" t="inlineStr">
        <is>
          <t>單相/220V/60Hz</t>
        </is>
      </c>
      <c r="AO135" s="26" t="n">
        <v>3.7</v>
      </c>
    </row>
    <row r="136">
      <c r="B136" s="26" t="inlineStr">
        <is>
          <t>FTXS40JVLT</t>
        </is>
      </c>
      <c r="C136" s="26" t="n">
        <v>4</v>
      </c>
      <c r="D136" s="26" t="inlineStr">
        <is>
          <t>壁掛式</t>
        </is>
      </c>
      <c r="E136" s="26" t="n">
        <v>40</v>
      </c>
      <c r="F136" s="26" t="inlineStr">
        <is>
          <t>單相/220V/60Hz</t>
        </is>
      </c>
      <c r="G136" s="26" t="n">
        <v>0.034</v>
      </c>
      <c r="H136" s="26" t="n">
        <v>0.16</v>
      </c>
      <c r="J136" s="26" t="inlineStr">
        <is>
          <t>290×1050×250</t>
        </is>
      </c>
      <c r="M136" s="26" t="inlineStr">
        <is>
          <t>RXYQ32PTLT</t>
        </is>
      </c>
      <c r="N136" s="26" t="n">
        <v>85</v>
      </c>
      <c r="O136" s="26" t="n">
        <v>800</v>
      </c>
      <c r="P136" s="26" t="n">
        <v>28.36</v>
      </c>
      <c r="Q136" s="26" t="inlineStr">
        <is>
          <t>3相/220V/60Hz</t>
        </is>
      </c>
      <c r="R136" s="26" t="n">
        <v>81.2</v>
      </c>
      <c r="S136" s="26" t="n">
        <v>150</v>
      </c>
      <c r="T136" s="26" t="inlineStr">
        <is>
          <t>(1680×1240×767)+(1680×1240×767)</t>
        </is>
      </c>
      <c r="AB136" s="23" t="inlineStr">
        <is>
          <t>FTHF40RVLT</t>
        </is>
      </c>
      <c r="AC136" s="215" t="n">
        <v>4</v>
      </c>
      <c r="AD136" s="23" t="inlineStr">
        <is>
          <t>壁掛式</t>
        </is>
      </c>
      <c r="AE136" s="26" t="inlineStr">
        <is>
          <t>-</t>
        </is>
      </c>
      <c r="AF136" s="26" t="inlineStr">
        <is>
          <t>室外機供電</t>
        </is>
      </c>
      <c r="AG136" s="26" t="inlineStr">
        <is>
          <t>-</t>
        </is>
      </c>
      <c r="AJ136" s="23" t="inlineStr">
        <is>
          <t>RHF40RVLT</t>
        </is>
      </c>
      <c r="AK136" s="23" t="inlineStr">
        <is>
          <t>匹配室內機能力</t>
        </is>
      </c>
      <c r="AL136" s="26" t="inlineStr">
        <is>
          <t>-</t>
        </is>
      </c>
      <c r="AM136" s="23" t="n">
        <v>0.952</v>
      </c>
      <c r="AN136" s="26" t="inlineStr">
        <is>
          <t>單相/220V/60Hz</t>
        </is>
      </c>
      <c r="AO136" s="26" t="n">
        <v>5.1</v>
      </c>
    </row>
    <row r="137">
      <c r="B137" s="26" t="inlineStr">
        <is>
          <t>CTXS50JVLT</t>
        </is>
      </c>
      <c r="C137" s="26" t="n">
        <v>5</v>
      </c>
      <c r="D137" s="26" t="inlineStr">
        <is>
          <t>壁掛式</t>
        </is>
      </c>
      <c r="E137" s="26" t="n">
        <v>50</v>
      </c>
      <c r="F137" s="26" t="inlineStr">
        <is>
          <t>單相/220V/60Hz</t>
        </is>
      </c>
      <c r="G137" s="26" t="n">
        <v>0.034</v>
      </c>
      <c r="H137" s="26" t="n">
        <v>0.16</v>
      </c>
      <c r="J137" s="26" t="inlineStr">
        <is>
          <t>290×1050×250</t>
        </is>
      </c>
      <c r="M137" s="26" t="inlineStr">
        <is>
          <t>RXYQ34PTLT</t>
        </is>
      </c>
      <c r="N137" s="26" t="n">
        <v>92.90000000000001</v>
      </c>
      <c r="O137" s="26" t="n">
        <v>850</v>
      </c>
      <c r="P137" s="26" t="n">
        <v>29.45</v>
      </c>
      <c r="Q137" s="26" t="inlineStr">
        <is>
          <t>3相/220V/60Hz</t>
        </is>
      </c>
      <c r="R137" s="26" t="n">
        <v>85.2</v>
      </c>
      <c r="S137" s="26" t="n">
        <v>150</v>
      </c>
      <c r="T137" s="26" t="inlineStr">
        <is>
          <t>(1680×930×767)+(1680×930×767)+(1680×1240×767)</t>
        </is>
      </c>
      <c r="AB137" s="23" t="inlineStr">
        <is>
          <t>FTHF50RVLT</t>
        </is>
      </c>
      <c r="AC137" s="215" t="n">
        <v>5</v>
      </c>
      <c r="AD137" s="23" t="inlineStr">
        <is>
          <t>壁掛式</t>
        </is>
      </c>
      <c r="AE137" s="26" t="inlineStr">
        <is>
          <t>-</t>
        </is>
      </c>
      <c r="AF137" s="26" t="inlineStr">
        <is>
          <t>室外機供電</t>
        </is>
      </c>
      <c r="AG137" s="26" t="inlineStr">
        <is>
          <t>-</t>
        </is>
      </c>
      <c r="AJ137" s="23" t="inlineStr">
        <is>
          <t>RHF50RVLT</t>
        </is>
      </c>
      <c r="AK137" s="23" t="inlineStr">
        <is>
          <t>匹配室內機能力</t>
        </is>
      </c>
      <c r="AL137" s="26" t="inlineStr">
        <is>
          <t>-</t>
        </is>
      </c>
      <c r="AM137" s="23" t="n">
        <v>1.315</v>
      </c>
      <c r="AN137" s="26" t="inlineStr">
        <is>
          <t>單相/220V/60Hz</t>
        </is>
      </c>
      <c r="AO137" s="26" t="n">
        <v>6.1</v>
      </c>
    </row>
    <row r="138">
      <c r="B138" s="26" t="inlineStr">
        <is>
          <t>CTXS60JVLT</t>
        </is>
      </c>
      <c r="C138" s="26" t="n">
        <v>6</v>
      </c>
      <c r="D138" s="26" t="inlineStr">
        <is>
          <t>壁掛式</t>
        </is>
      </c>
      <c r="E138" s="26" t="n">
        <v>60</v>
      </c>
      <c r="F138" s="26" t="inlineStr">
        <is>
          <t>單相/220V/60Hz</t>
        </is>
      </c>
      <c r="G138" s="26" t="n">
        <v>0.04</v>
      </c>
      <c r="H138" s="26" t="n">
        <v>0.19</v>
      </c>
      <c r="J138" s="26" t="inlineStr">
        <is>
          <t>290×1050×250</t>
        </is>
      </c>
      <c r="M138" s="26" t="inlineStr">
        <is>
          <t>RXYQ36PTLT</t>
        </is>
      </c>
      <c r="N138" s="26" t="n">
        <v>98.5</v>
      </c>
      <c r="O138" s="26" t="n">
        <v>900</v>
      </c>
      <c r="P138" s="26" t="n">
        <v>32.16</v>
      </c>
      <c r="Q138" s="26" t="inlineStr">
        <is>
          <t>3相/220V/60Hz</t>
        </is>
      </c>
      <c r="R138" s="26" t="n">
        <v>92.2</v>
      </c>
      <c r="S138" s="26" t="n">
        <v>175</v>
      </c>
      <c r="T138" s="26" t="inlineStr">
        <is>
          <t>(1680×930×767)+(1680×930×767)+(1680×1240×767)</t>
        </is>
      </c>
      <c r="AB138" s="23" t="inlineStr">
        <is>
          <t>FTHF60RVLT</t>
        </is>
      </c>
      <c r="AC138" s="215" t="n">
        <v>6</v>
      </c>
      <c r="AD138" s="23" t="inlineStr">
        <is>
          <t>壁掛式</t>
        </is>
      </c>
      <c r="AE138" s="26" t="inlineStr">
        <is>
          <t>-</t>
        </is>
      </c>
      <c r="AF138" s="26" t="inlineStr">
        <is>
          <t>室外機供電</t>
        </is>
      </c>
      <c r="AG138" s="26" t="inlineStr">
        <is>
          <t>-</t>
        </is>
      </c>
      <c r="AJ138" s="23" t="inlineStr">
        <is>
          <t>RHF60RVLT</t>
        </is>
      </c>
      <c r="AK138" s="23" t="inlineStr">
        <is>
          <t>匹配室內機能力</t>
        </is>
      </c>
      <c r="AL138" s="26" t="inlineStr">
        <is>
          <t>-</t>
        </is>
      </c>
      <c r="AM138" s="23" t="n">
        <v>1.78</v>
      </c>
      <c r="AN138" s="26" t="inlineStr">
        <is>
          <t>單相/220V/60Hz</t>
        </is>
      </c>
      <c r="AO138" s="26" t="n">
        <v>8.199999999999999</v>
      </c>
    </row>
    <row r="139">
      <c r="B139" s="26" t="inlineStr">
        <is>
          <t>CTXS70JVLT</t>
        </is>
      </c>
      <c r="C139" s="26" t="n">
        <v>7</v>
      </c>
      <c r="D139" s="26" t="inlineStr">
        <is>
          <t>壁掛式</t>
        </is>
      </c>
      <c r="E139" s="26" t="n">
        <v>70</v>
      </c>
      <c r="F139" s="26" t="inlineStr">
        <is>
          <t>單相/220V/60Hz</t>
        </is>
      </c>
      <c r="G139" s="26" t="n">
        <v>0.045</v>
      </c>
      <c r="H139" s="26" t="n">
        <v>0.21</v>
      </c>
      <c r="J139" s="26" t="inlineStr">
        <is>
          <t>290×1050×250</t>
        </is>
      </c>
      <c r="M139" s="26" t="inlineStr">
        <is>
          <t>RXYQ38PTLT</t>
        </is>
      </c>
      <c r="N139" s="26" t="n">
        <v>103.9</v>
      </c>
      <c r="O139" s="26" t="n">
        <v>950</v>
      </c>
      <c r="P139" s="26" t="n">
        <v>33.26</v>
      </c>
      <c r="Q139" s="26" t="inlineStr">
        <is>
          <t>3相/220V/60Hz</t>
        </is>
      </c>
      <c r="R139" s="26" t="n">
        <v>96.7</v>
      </c>
      <c r="S139" s="26" t="n">
        <v>175</v>
      </c>
      <c r="T139" s="26" t="inlineStr">
        <is>
          <t>(1680×930×767)+(1680×1240×767)+(1680×1240×767)</t>
        </is>
      </c>
      <c r="AB139" s="23" t="inlineStr">
        <is>
          <t>FTHF71RVLT</t>
        </is>
      </c>
      <c r="AC139" s="215" t="n">
        <v>7.2</v>
      </c>
      <c r="AD139" s="23" t="inlineStr">
        <is>
          <t>壁掛式</t>
        </is>
      </c>
      <c r="AE139" s="26" t="inlineStr">
        <is>
          <t>-</t>
        </is>
      </c>
      <c r="AF139" s="26" t="inlineStr">
        <is>
          <t>室外機供電</t>
        </is>
      </c>
      <c r="AG139" s="26" t="inlineStr">
        <is>
          <t>-</t>
        </is>
      </c>
      <c r="AJ139" s="23" t="inlineStr">
        <is>
          <t>RHF71RVLT</t>
        </is>
      </c>
      <c r="AK139" s="23" t="inlineStr">
        <is>
          <t>匹配室內機能力</t>
        </is>
      </c>
      <c r="AL139" s="26" t="inlineStr">
        <is>
          <t>-</t>
        </is>
      </c>
      <c r="AM139" s="23" t="n">
        <v>2.23</v>
      </c>
      <c r="AN139" s="26" t="inlineStr">
        <is>
          <t>單相/220V/60Hz</t>
        </is>
      </c>
      <c r="AO139" s="26" t="n">
        <v>10.2</v>
      </c>
    </row>
    <row r="140">
      <c r="M140" s="26" t="inlineStr">
        <is>
          <t>RXYQ40PTLT</t>
        </is>
      </c>
      <c r="N140" s="26" t="n">
        <v>107.4</v>
      </c>
      <c r="O140" s="26" t="n">
        <v>1000</v>
      </c>
      <c r="P140" s="26" t="n">
        <v>34.64</v>
      </c>
      <c r="Q140" s="26" t="inlineStr">
        <is>
          <t>3相/220V/60Hz</t>
        </is>
      </c>
      <c r="R140" s="26" t="n">
        <v>100</v>
      </c>
      <c r="S140" s="26" t="n">
        <v>175</v>
      </c>
      <c r="T140" s="26" t="inlineStr">
        <is>
          <t>(1680×930×767)+(1680×1240×767)+(1680×1240×767)</t>
        </is>
      </c>
    </row>
    <row r="141">
      <c r="B141" s="32" t="inlineStr">
        <is>
          <t>家用系列(歐風壁掛式)</t>
        </is>
      </c>
      <c r="C141" s="26" t="n"/>
      <c r="D141" s="26" t="n"/>
      <c r="E141" s="26" t="n"/>
      <c r="F141" s="26" t="n"/>
      <c r="M141" s="26" t="inlineStr">
        <is>
          <t>RXYQ42PTLT</t>
        </is>
      </c>
      <c r="N141" s="26" t="n">
        <v>113</v>
      </c>
      <c r="O141" s="26" t="n">
        <v>1050</v>
      </c>
      <c r="P141" s="26" t="n">
        <v>37.35</v>
      </c>
      <c r="Q141" s="26" t="inlineStr">
        <is>
          <t>3相/220V/60Hz</t>
        </is>
      </c>
      <c r="R141" s="26" t="n">
        <v>107</v>
      </c>
      <c r="S141" s="26" t="n">
        <v>175</v>
      </c>
      <c r="T141" s="26" t="inlineStr">
        <is>
          <t>(1680×930×767)+(1680×1240×767)+(1680×1240×767)</t>
        </is>
      </c>
    </row>
    <row r="142">
      <c r="B142" s="26" t="inlineStr">
        <is>
          <t>FTXJ25NVLTW</t>
        </is>
      </c>
      <c r="C142" s="26" t="n">
        <v>2.5</v>
      </c>
      <c r="D142" s="26" t="inlineStr">
        <is>
          <t>壁掛式</t>
        </is>
      </c>
      <c r="E142" s="26" t="n">
        <v>25</v>
      </c>
      <c r="F142" s="26" t="inlineStr">
        <is>
          <t>單相/220V/60Hz</t>
        </is>
      </c>
      <c r="G142" s="26" t="n">
        <v>0.022</v>
      </c>
      <c r="H142" s="26" t="n">
        <v>0.12</v>
      </c>
      <c r="J142" s="26" t="inlineStr">
        <is>
          <t>303 × 998 × 212</t>
        </is>
      </c>
      <c r="M142" s="26" t="inlineStr">
        <is>
          <t>RXYQ44PTLT</t>
        </is>
      </c>
      <c r="N142" s="26" t="n">
        <v>118.5</v>
      </c>
      <c r="O142" s="26" t="n">
        <v>1100</v>
      </c>
      <c r="P142" s="26" t="n">
        <v>38.63</v>
      </c>
      <c r="Q142" s="26" t="inlineStr">
        <is>
          <t>3相/220V/60Hz</t>
        </is>
      </c>
      <c r="R142" s="26" t="n">
        <v>110.6</v>
      </c>
      <c r="S142" s="26" t="n">
        <v>175</v>
      </c>
      <c r="T142" s="26" t="inlineStr">
        <is>
          <t>(1680×1240×767)+(1680×1240×767)+(1680×1240×767)</t>
        </is>
      </c>
    </row>
    <row r="143">
      <c r="B143" s="26" t="inlineStr">
        <is>
          <t>FTXJ41NVLTW</t>
        </is>
      </c>
      <c r="C143" s="26" t="n">
        <v>4.1</v>
      </c>
      <c r="D143" s="26" t="inlineStr">
        <is>
          <t>壁掛式</t>
        </is>
      </c>
      <c r="E143" s="26" t="n">
        <v>41</v>
      </c>
      <c r="F143" s="26" t="inlineStr">
        <is>
          <t>單相/220V/60Hz</t>
        </is>
      </c>
      <c r="G143" s="26" t="n">
        <v>0.035</v>
      </c>
      <c r="H143" s="26" t="n">
        <v>0.18</v>
      </c>
      <c r="J143" s="26" t="inlineStr">
        <is>
          <t>303 × 998 × 212</t>
        </is>
      </c>
      <c r="M143" s="26" t="inlineStr">
        <is>
          <t>RXYQ46PTLT</t>
        </is>
      </c>
      <c r="N143" s="26" t="n">
        <v>124</v>
      </c>
      <c r="O143" s="26" t="n">
        <v>1150</v>
      </c>
      <c r="P143" s="26" t="n">
        <v>41.16</v>
      </c>
      <c r="Q143" s="26" t="inlineStr">
        <is>
          <t>3相/220V/60Hz</t>
        </is>
      </c>
      <c r="R143" s="26" t="n">
        <v>118.5</v>
      </c>
      <c r="S143" s="26" t="n">
        <v>200</v>
      </c>
      <c r="T143" s="26" t="inlineStr">
        <is>
          <t>(1680×1240×767)+(1680×1240×767)+(1680×1240×767)</t>
        </is>
      </c>
    </row>
    <row r="144">
      <c r="M144" s="26" t="inlineStr">
        <is>
          <t>RXYQ48PTLT</t>
        </is>
      </c>
      <c r="N144" s="26" t="n">
        <v>127.5</v>
      </c>
      <c r="O144" s="26" t="n">
        <v>1200</v>
      </c>
      <c r="P144" s="26" t="n">
        <v>42.54</v>
      </c>
      <c r="Q144" s="26" t="inlineStr">
        <is>
          <t>3相/220V/60Hz</t>
        </is>
      </c>
      <c r="R144" s="26" t="n">
        <v>121.8</v>
      </c>
      <c r="S144" s="26" t="n">
        <v>200</v>
      </c>
      <c r="T144" s="26" t="inlineStr">
        <is>
          <t>(1680×1240×767)+(1680×1240×767)+(1680×1240×767)</t>
        </is>
      </c>
    </row>
    <row r="145">
      <c r="B145" s="32" t="inlineStr">
        <is>
          <t>標準型空調箱</t>
        </is>
      </c>
      <c r="C145" s="26" t="n"/>
      <c r="D145" s="26" t="n"/>
      <c r="E145" s="26" t="n"/>
      <c r="F145" s="26" t="n"/>
    </row>
    <row r="146">
      <c r="B146" s="26" t="inlineStr">
        <is>
          <t>AHUR06DBBVTY2</t>
        </is>
      </c>
      <c r="C146" s="26" t="n">
        <v>16</v>
      </c>
      <c r="D146" s="26" t="inlineStr">
        <is>
          <t>空調箱</t>
        </is>
      </c>
      <c r="E146" s="26" t="n">
        <v>150</v>
      </c>
      <c r="F146" s="26" t="inlineStr">
        <is>
          <t>三相/380V/60Hz</t>
        </is>
      </c>
      <c r="G146" s="26" t="inlineStr">
        <is>
          <t>-</t>
        </is>
      </c>
      <c r="H146" s="26" t="inlineStr">
        <is>
          <t>-</t>
        </is>
      </c>
      <c r="I146" s="26" t="inlineStr">
        <is>
          <t>-</t>
        </is>
      </c>
      <c r="J146" s="26" t="inlineStr">
        <is>
          <t>-</t>
        </is>
      </c>
      <c r="M146" s="32" t="inlineStr">
        <is>
          <t>VRV-III(高效率型)</t>
        </is>
      </c>
      <c r="N146" s="26" t="n"/>
      <c r="O146" s="26" t="n"/>
      <c r="P146" s="26" t="n"/>
      <c r="Q146" s="26" t="n"/>
      <c r="R146" s="26" t="n"/>
    </row>
    <row r="147">
      <c r="B147" s="26" t="inlineStr">
        <is>
          <t>AHUR08DBBVTY2</t>
        </is>
      </c>
      <c r="C147" s="26" t="n">
        <v>22.5</v>
      </c>
      <c r="D147" s="26" t="inlineStr">
        <is>
          <t>空調箱</t>
        </is>
      </c>
      <c r="E147" s="26" t="n">
        <v>200</v>
      </c>
      <c r="F147" s="26" t="inlineStr">
        <is>
          <t>三相/380V/60Hz</t>
        </is>
      </c>
      <c r="G147" s="26" t="inlineStr">
        <is>
          <t>-</t>
        </is>
      </c>
      <c r="H147" s="26" t="inlineStr">
        <is>
          <t>-</t>
        </is>
      </c>
      <c r="I147" s="26" t="inlineStr">
        <is>
          <t>-</t>
        </is>
      </c>
      <c r="J147" s="26" t="inlineStr">
        <is>
          <t>-</t>
        </is>
      </c>
      <c r="M147" s="26" t="inlineStr">
        <is>
          <t>RXYQ20PHTLT</t>
        </is>
      </c>
      <c r="N147" s="26" t="n">
        <v>55.9</v>
      </c>
      <c r="O147" s="26" t="n">
        <v>500</v>
      </c>
      <c r="P147" s="26" t="n">
        <v>16.55</v>
      </c>
      <c r="Q147" s="26" t="inlineStr">
        <is>
          <t>3相/220V/60Hz</t>
        </is>
      </c>
      <c r="R147" s="26" t="n">
        <v>48.2</v>
      </c>
      <c r="S147" s="26" t="n">
        <v>90</v>
      </c>
      <c r="T147" s="26" t="inlineStr">
        <is>
          <t>(1680×930×767)+(1680×1240×767)</t>
        </is>
      </c>
    </row>
    <row r="148">
      <c r="B148" s="26" t="inlineStr">
        <is>
          <t>AHUR10DBBVTY2</t>
        </is>
      </c>
      <c r="C148" s="26" t="n">
        <v>26.9</v>
      </c>
      <c r="D148" s="26" t="inlineStr">
        <is>
          <t>空調箱</t>
        </is>
      </c>
      <c r="E148" s="26" t="n">
        <v>250</v>
      </c>
      <c r="F148" s="26" t="inlineStr">
        <is>
          <t>三相/380V/60Hz</t>
        </is>
      </c>
      <c r="G148" s="26" t="inlineStr">
        <is>
          <t>-</t>
        </is>
      </c>
      <c r="H148" s="26" t="inlineStr">
        <is>
          <t>-</t>
        </is>
      </c>
      <c r="I148" s="26" t="inlineStr">
        <is>
          <t>-</t>
        </is>
      </c>
      <c r="J148" s="26" t="inlineStr">
        <is>
          <t>-</t>
        </is>
      </c>
      <c r="M148" s="26" t="inlineStr">
        <is>
          <t>RXYQ24PHTLT</t>
        </is>
      </c>
      <c r="N148" s="26" t="n">
        <v>67.2</v>
      </c>
      <c r="O148" s="26" t="n">
        <v>600</v>
      </c>
      <c r="P148" s="26" t="n">
        <v>18.84</v>
      </c>
      <c r="Q148" s="26" t="inlineStr">
        <is>
          <t>3相/220V/60Hz</t>
        </is>
      </c>
      <c r="R148" s="26" t="n">
        <v>56.4</v>
      </c>
      <c r="S148" s="26" t="n">
        <v>110</v>
      </c>
      <c r="T148" s="26" t="inlineStr">
        <is>
          <t>(1680×930×767)+(1680×930×767)+(1680×930×767)</t>
        </is>
      </c>
    </row>
    <row r="149">
      <c r="B149" s="26" t="inlineStr">
        <is>
          <t>AHUR16DBBVTY2</t>
        </is>
      </c>
      <c r="C149" s="26" t="n">
        <v>45.1</v>
      </c>
      <c r="D149" s="26" t="inlineStr">
        <is>
          <t>空調箱</t>
        </is>
      </c>
      <c r="E149" s="26" t="n">
        <v>400</v>
      </c>
      <c r="F149" s="26" t="inlineStr">
        <is>
          <t>三相/380V/60Hz</t>
        </is>
      </c>
      <c r="G149" s="26" t="inlineStr">
        <is>
          <t>-</t>
        </is>
      </c>
      <c r="H149" s="26" t="inlineStr">
        <is>
          <t>-</t>
        </is>
      </c>
      <c r="I149" s="26" t="inlineStr">
        <is>
          <t>-</t>
        </is>
      </c>
      <c r="J149" s="26" t="inlineStr">
        <is>
          <t>-</t>
        </is>
      </c>
      <c r="M149" s="26" t="inlineStr">
        <is>
          <t>RXYQ26PHTLT</t>
        </is>
      </c>
      <c r="N149" s="26" t="n">
        <v>72.8</v>
      </c>
      <c r="O149" s="26" t="n">
        <v>650</v>
      </c>
      <c r="P149" s="26" t="n">
        <v>21.55</v>
      </c>
      <c r="Q149" s="26" t="inlineStr">
        <is>
          <t>3相/220V/60Hz</t>
        </is>
      </c>
      <c r="R149" s="26" t="n">
        <v>63.4</v>
      </c>
      <c r="S149" s="26" t="n">
        <v>150</v>
      </c>
      <c r="T149" s="26" t="inlineStr">
        <is>
          <t>(1680×930×767)+(1680×930×767)+(1680×930×767)</t>
        </is>
      </c>
    </row>
    <row r="150">
      <c r="B150" s="26" t="inlineStr">
        <is>
          <t>AHUR20DBBVTY2</t>
        </is>
      </c>
      <c r="C150" s="26" t="n">
        <v>56.7</v>
      </c>
      <c r="D150" s="26" t="inlineStr">
        <is>
          <t>空調箱</t>
        </is>
      </c>
      <c r="E150" s="26" t="n">
        <v>500</v>
      </c>
      <c r="F150" s="26" t="inlineStr">
        <is>
          <t>三相/380V/60Hz</t>
        </is>
      </c>
      <c r="G150" s="26" t="inlineStr">
        <is>
          <t>-</t>
        </is>
      </c>
      <c r="H150" s="26" t="inlineStr">
        <is>
          <t>-</t>
        </is>
      </c>
      <c r="I150" s="26" t="inlineStr">
        <is>
          <t>-</t>
        </is>
      </c>
      <c r="J150" s="26" t="inlineStr">
        <is>
          <t>-</t>
        </is>
      </c>
      <c r="M150" s="26" t="inlineStr">
        <is>
          <t>RXYQ28PHTLT</t>
        </is>
      </c>
      <c r="N150" s="26" t="n">
        <v>78.3</v>
      </c>
      <c r="O150" s="26" t="n">
        <v>700</v>
      </c>
      <c r="P150" s="26" t="n">
        <v>22.83</v>
      </c>
      <c r="Q150" s="26" t="inlineStr">
        <is>
          <t>3相/220V/60Hz</t>
        </is>
      </c>
      <c r="R150" s="26" t="n">
        <v>67</v>
      </c>
      <c r="S150" s="26" t="n">
        <v>150</v>
      </c>
      <c r="T150" s="26" t="inlineStr">
        <is>
          <t>(1680×930×767)+(1680×930×767)+(1680×1240×767)</t>
        </is>
      </c>
    </row>
    <row r="151">
      <c r="B151" s="26" t="inlineStr">
        <is>
          <t>AHUR32DBBVTY2</t>
        </is>
      </c>
      <c r="C151" s="26" t="n">
        <v>88.5</v>
      </c>
      <c r="D151" s="26" t="inlineStr">
        <is>
          <t>空調箱</t>
        </is>
      </c>
      <c r="E151" s="26" t="n">
        <v>800</v>
      </c>
      <c r="F151" s="26" t="inlineStr">
        <is>
          <t>三相/380V/60Hz</t>
        </is>
      </c>
      <c r="G151" s="26" t="inlineStr">
        <is>
          <t>-</t>
        </is>
      </c>
      <c r="H151" s="26" t="inlineStr">
        <is>
          <t>-</t>
        </is>
      </c>
      <c r="I151" s="26" t="inlineStr">
        <is>
          <t>-</t>
        </is>
      </c>
      <c r="J151" s="26" t="inlineStr">
        <is>
          <t>-</t>
        </is>
      </c>
      <c r="M151" s="26" t="inlineStr">
        <is>
          <t>RXYQ30PHTLT</t>
        </is>
      </c>
      <c r="N151" s="26" t="n">
        <v>83.8</v>
      </c>
      <c r="O151" s="26" t="n">
        <v>750</v>
      </c>
      <c r="P151" s="26" t="n">
        <v>25.36</v>
      </c>
      <c r="Q151" s="26" t="inlineStr">
        <is>
          <t>3相/220V/60Hz</t>
        </is>
      </c>
      <c r="R151" s="26" t="n">
        <v>74.90000000000001</v>
      </c>
      <c r="S151" s="26" t="n">
        <v>150</v>
      </c>
      <c r="T151" s="26" t="inlineStr">
        <is>
          <t>(1680×930×767)+(1680×930×767)+(1680×1240×767)</t>
        </is>
      </c>
    </row>
    <row r="152">
      <c r="B152" s="26" t="inlineStr">
        <is>
          <t>AHUR40DBBVTY2</t>
        </is>
      </c>
      <c r="C152" s="26" t="n">
        <v>111.9</v>
      </c>
      <c r="D152" s="26" t="inlineStr">
        <is>
          <t>空調箱</t>
        </is>
      </c>
      <c r="E152" s="26" t="n">
        <v>1000</v>
      </c>
      <c r="F152" s="26" t="inlineStr">
        <is>
          <t>三相/380V/60Hz</t>
        </is>
      </c>
      <c r="G152" s="26" t="inlineStr">
        <is>
          <t>-</t>
        </is>
      </c>
      <c r="H152" s="26" t="inlineStr">
        <is>
          <t>-</t>
        </is>
      </c>
      <c r="I152" s="26" t="inlineStr">
        <is>
          <t>-</t>
        </is>
      </c>
      <c r="J152" s="26" t="inlineStr">
        <is>
          <t>-</t>
        </is>
      </c>
      <c r="M152" s="26" t="inlineStr">
        <is>
          <t>RXYQ32PHTLT</t>
        </is>
      </c>
      <c r="N152" s="26" t="n">
        <v>89.40000000000001</v>
      </c>
      <c r="O152" s="26" t="n">
        <v>800</v>
      </c>
      <c r="P152" s="26" t="n">
        <v>26.82</v>
      </c>
      <c r="Q152" s="26" t="inlineStr">
        <is>
          <t>3相/220V/60Hz</t>
        </is>
      </c>
      <c r="R152" s="26" t="n">
        <v>77.59999999999999</v>
      </c>
      <c r="S152" s="26" t="n">
        <v>150</v>
      </c>
      <c r="T152" s="26" t="inlineStr">
        <is>
          <t>(1680×930×767)+(1680×1240×767)+(1680×1240×767)</t>
        </is>
      </c>
    </row>
    <row r="153">
      <c r="B153" s="26" t="inlineStr">
        <is>
          <t>AHUR48DBBVTY2</t>
        </is>
      </c>
      <c r="C153" s="26" t="n">
        <v>136.6</v>
      </c>
      <c r="D153" s="26" t="inlineStr">
        <is>
          <t>空調箱</t>
        </is>
      </c>
      <c r="E153" s="26" t="n">
        <v>1200</v>
      </c>
      <c r="F153" s="26" t="inlineStr">
        <is>
          <t>三相/380V/60Hz</t>
        </is>
      </c>
      <c r="G153" s="26" t="inlineStr">
        <is>
          <t>-</t>
        </is>
      </c>
      <c r="H153" s="26" t="inlineStr">
        <is>
          <t>-</t>
        </is>
      </c>
      <c r="I153" s="26" t="inlineStr">
        <is>
          <t>-</t>
        </is>
      </c>
      <c r="J153" s="26" t="inlineStr">
        <is>
          <t>-</t>
        </is>
      </c>
      <c r="M153" s="26" t="inlineStr">
        <is>
          <t>RXYQ34PHTLT</t>
        </is>
      </c>
      <c r="N153" s="26" t="n">
        <v>97.90000000000001</v>
      </c>
      <c r="O153" s="26" t="n">
        <v>850</v>
      </c>
      <c r="P153" s="26" t="n">
        <v>29.35</v>
      </c>
      <c r="Q153" s="26" t="inlineStr">
        <is>
          <t>3相/220V/60Hz</t>
        </is>
      </c>
      <c r="R153" s="26" t="n">
        <v>85.5</v>
      </c>
      <c r="S153" s="26" t="n">
        <v>150</v>
      </c>
      <c r="T153" s="26" t="inlineStr">
        <is>
          <t>(1680×930×767)+(1680×1240×767)+(1680×1240×767)</t>
        </is>
      </c>
    </row>
    <row r="154">
      <c r="B154" s="26" t="inlineStr">
        <is>
          <t>AHUR60DBBVTY2</t>
        </is>
      </c>
      <c r="C154" s="26" t="n">
        <v>169.3</v>
      </c>
      <c r="D154" s="26" t="inlineStr">
        <is>
          <t>空調箱</t>
        </is>
      </c>
      <c r="E154" s="26" t="n">
        <v>1500</v>
      </c>
      <c r="F154" s="26" t="inlineStr">
        <is>
          <t>三相/380V/60Hz</t>
        </is>
      </c>
      <c r="G154" s="26" t="inlineStr">
        <is>
          <t>-</t>
        </is>
      </c>
      <c r="H154" s="26" t="inlineStr">
        <is>
          <t>-</t>
        </is>
      </c>
      <c r="I154" s="26" t="inlineStr">
        <is>
          <t>-</t>
        </is>
      </c>
      <c r="J154" s="26" t="inlineStr">
        <is>
          <t>-</t>
        </is>
      </c>
      <c r="M154" s="26" t="inlineStr">
        <is>
          <t>RXYQ36PHTLT</t>
        </is>
      </c>
      <c r="N154" s="26" t="n">
        <v>100.5</v>
      </c>
      <c r="O154" s="26" t="n">
        <v>900</v>
      </c>
      <c r="P154" s="26" t="n">
        <v>30.81</v>
      </c>
      <c r="Q154" s="26" t="inlineStr">
        <is>
          <t>3相/220V/60Hz</t>
        </is>
      </c>
      <c r="R154" s="26" t="n">
        <v>88.2</v>
      </c>
      <c r="S154" s="26" t="n">
        <v>150</v>
      </c>
      <c r="T154" s="26" t="inlineStr">
        <is>
          <t>(1680×1240×767)+(1680×1240×767)+(1680×1240×767)</t>
        </is>
      </c>
    </row>
    <row r="155">
      <c r="B155" s="26" t="inlineStr">
        <is>
          <t>AHUR80DBBVTY2</t>
        </is>
      </c>
      <c r="C155" s="26" t="n">
        <v>223.6</v>
      </c>
      <c r="D155" s="26" t="inlineStr">
        <is>
          <t>空調箱</t>
        </is>
      </c>
      <c r="E155" s="26" t="n">
        <v>2000</v>
      </c>
      <c r="F155" s="26" t="inlineStr">
        <is>
          <t>三相/380V/60Hz</t>
        </is>
      </c>
      <c r="G155" s="26" t="inlineStr">
        <is>
          <t>-</t>
        </is>
      </c>
      <c r="H155" s="26" t="inlineStr">
        <is>
          <t>-</t>
        </is>
      </c>
      <c r="I155" s="26" t="inlineStr">
        <is>
          <t>-</t>
        </is>
      </c>
      <c r="J155" s="26" t="inlineStr">
        <is>
          <t>-</t>
        </is>
      </c>
      <c r="M155" s="26" t="inlineStr">
        <is>
          <t>RXYQ38PHTLT</t>
        </is>
      </c>
      <c r="N155" s="26" t="n">
        <v>106</v>
      </c>
      <c r="O155" s="26" t="n">
        <v>950</v>
      </c>
      <c r="P155" s="26" t="n">
        <v>33.34</v>
      </c>
      <c r="Q155" s="26" t="inlineStr">
        <is>
          <t>3相/220V/60Hz</t>
        </is>
      </c>
      <c r="R155" s="26" t="n">
        <v>96.09999999999999</v>
      </c>
      <c r="S155" s="26" t="n">
        <v>175</v>
      </c>
      <c r="T155" s="26" t="inlineStr">
        <is>
          <t>(1680×1240×767)+(1680×1240×767)+(1680×1240×767)</t>
        </is>
      </c>
    </row>
    <row r="156">
      <c r="B156" s="26" t="inlineStr">
        <is>
          <t>AHUR100DBBVTY2</t>
        </is>
      </c>
      <c r="C156" s="26" t="n">
        <v>288.5</v>
      </c>
      <c r="D156" s="26" t="inlineStr">
        <is>
          <t>空調箱</t>
        </is>
      </c>
      <c r="E156" s="26" t="n">
        <v>2500</v>
      </c>
      <c r="F156" s="26" t="inlineStr">
        <is>
          <t>三相/380V/60Hz</t>
        </is>
      </c>
      <c r="G156" s="26" t="inlineStr">
        <is>
          <t>-</t>
        </is>
      </c>
      <c r="H156" s="26" t="inlineStr">
        <is>
          <t>-</t>
        </is>
      </c>
      <c r="I156" s="26" t="inlineStr">
        <is>
          <t>-</t>
        </is>
      </c>
      <c r="J156" s="26" t="inlineStr">
        <is>
          <t>-</t>
        </is>
      </c>
      <c r="M156" s="26" t="inlineStr">
        <is>
          <t>RXYQ40PHTLT</t>
        </is>
      </c>
      <c r="N156" s="26" t="n">
        <v>109.5</v>
      </c>
      <c r="O156" s="26" t="n">
        <v>1000</v>
      </c>
      <c r="P156" s="26" t="n">
        <v>34.72</v>
      </c>
      <c r="Q156" s="26" t="inlineStr">
        <is>
          <t>3相/220V/60Hz</t>
        </is>
      </c>
      <c r="R156" s="26" t="n">
        <v>99.40000000000001</v>
      </c>
      <c r="S156" s="26" t="n">
        <v>175</v>
      </c>
      <c r="T156" s="26" t="inlineStr">
        <is>
          <t>(1680×1240×767)+(1680×1240×767)+(1680×1240×767)</t>
        </is>
      </c>
    </row>
    <row r="157">
      <c r="B157" s="26" t="inlineStr">
        <is>
          <t>AHUR120DBBVTY2</t>
        </is>
      </c>
      <c r="C157" s="26" t="n">
        <v>337.2</v>
      </c>
      <c r="D157" s="26" t="inlineStr">
        <is>
          <t>空調箱</t>
        </is>
      </c>
      <c r="E157" s="26" t="n">
        <v>3000</v>
      </c>
      <c r="F157" s="26" t="inlineStr">
        <is>
          <t>三相/380V/60Hz</t>
        </is>
      </c>
      <c r="G157" s="26" t="inlineStr">
        <is>
          <t>-</t>
        </is>
      </c>
      <c r="H157" s="26" t="inlineStr">
        <is>
          <t>-</t>
        </is>
      </c>
      <c r="I157" s="26" t="inlineStr">
        <is>
          <t>-</t>
        </is>
      </c>
      <c r="J157" s="26" t="inlineStr">
        <is>
          <t>-</t>
        </is>
      </c>
      <c r="M157" s="26" t="inlineStr">
        <is>
          <t>RXYQ42PHTLT</t>
        </is>
      </c>
      <c r="N157" s="26" t="n">
        <v>115</v>
      </c>
      <c r="O157" s="26" t="n">
        <v>1050</v>
      </c>
      <c r="P157" s="26" t="n">
        <v>37.25</v>
      </c>
      <c r="Q157" s="26" t="inlineStr">
        <is>
          <t>3相/220V/60Hz</t>
        </is>
      </c>
      <c r="R157" s="26" t="n">
        <v>107.3</v>
      </c>
      <c r="S157" s="26" t="n">
        <v>175</v>
      </c>
      <c r="T157" s="26" t="inlineStr">
        <is>
          <t>(1680×1240×767)+(1680×1240×767)+(1680×1240×767)</t>
        </is>
      </c>
    </row>
    <row r="159">
      <c r="B159" s="41" t="inlineStr">
        <is>
          <t>家用室內機</t>
        </is>
      </c>
      <c r="M159" s="41" t="inlineStr">
        <is>
          <t>家用室外機</t>
        </is>
      </c>
    </row>
    <row r="160">
      <c r="B160" s="40" t="inlineStr">
        <is>
          <t>橫綱X</t>
        </is>
      </c>
      <c r="C160" s="215" t="n"/>
      <c r="D160" s="23" t="n"/>
      <c r="E160" s="26" t="n"/>
      <c r="F160" s="26" t="n"/>
      <c r="G160" s="26" t="n"/>
      <c r="H160" s="26" t="n"/>
      <c r="M160" s="40" t="inlineStr">
        <is>
          <t>橫綱X</t>
        </is>
      </c>
      <c r="N160" s="23" t="n"/>
      <c r="O160" s="26" t="n"/>
      <c r="P160" s="26" t="n"/>
      <c r="Q160" s="23" t="n"/>
      <c r="R160" s="23" t="n"/>
      <c r="S160" s="38" t="n"/>
      <c r="T160" s="38" t="n"/>
    </row>
    <row r="161">
      <c r="B161" s="23" t="inlineStr">
        <is>
          <t>FTXV22XVLT</t>
        </is>
      </c>
      <c r="C161" s="215" t="n">
        <v>2.2</v>
      </c>
      <c r="D161" s="23" t="inlineStr">
        <is>
          <t>壁掛式</t>
        </is>
      </c>
      <c r="E161" s="26" t="inlineStr">
        <is>
          <t>-</t>
        </is>
      </c>
      <c r="F161" s="26" t="inlineStr">
        <is>
          <t>室外機供電</t>
        </is>
      </c>
      <c r="G161" s="26" t="inlineStr">
        <is>
          <t>-</t>
        </is>
      </c>
      <c r="H161" s="26" t="inlineStr">
        <is>
          <t>-</t>
        </is>
      </c>
      <c r="J161" s="26" t="inlineStr">
        <is>
          <t>299×838×275</t>
        </is>
      </c>
      <c r="M161" s="23" t="inlineStr">
        <is>
          <t>RXV22XVLT</t>
        </is>
      </c>
      <c r="N161" s="23" t="inlineStr">
        <is>
          <t>匹配室內機能力</t>
        </is>
      </c>
      <c r="O161" s="26" t="inlineStr">
        <is>
          <t>-</t>
        </is>
      </c>
      <c r="P161" s="23" t="n">
        <v>0.44</v>
      </c>
      <c r="Q161" s="26" t="inlineStr">
        <is>
          <t>單相/220V/60Hz</t>
        </is>
      </c>
      <c r="R161" s="26" t="n">
        <v>2.2</v>
      </c>
      <c r="S161" s="26" t="n">
        <v>10</v>
      </c>
      <c r="T161" s="26" t="inlineStr">
        <is>
          <t>550×675×284</t>
        </is>
      </c>
    </row>
    <row r="162">
      <c r="B162" s="23" t="inlineStr">
        <is>
          <t>FTXV28XVLT</t>
        </is>
      </c>
      <c r="C162" s="215" t="n">
        <v>2.8</v>
      </c>
      <c r="D162" s="23" t="inlineStr">
        <is>
          <t>壁掛式</t>
        </is>
      </c>
      <c r="E162" s="26" t="inlineStr">
        <is>
          <t>-</t>
        </is>
      </c>
      <c r="F162" s="26" t="inlineStr">
        <is>
          <t>室外機供電</t>
        </is>
      </c>
      <c r="G162" s="26" t="inlineStr">
        <is>
          <t>-</t>
        </is>
      </c>
      <c r="H162" s="26" t="inlineStr">
        <is>
          <t>-</t>
        </is>
      </c>
      <c r="J162" s="26" t="inlineStr">
        <is>
          <t>299×838×275</t>
        </is>
      </c>
      <c r="M162" s="23" t="inlineStr">
        <is>
          <t>RXV28XVLT</t>
        </is>
      </c>
      <c r="N162" s="23" t="inlineStr">
        <is>
          <t>匹配室內機能力</t>
        </is>
      </c>
      <c r="O162" s="26" t="inlineStr">
        <is>
          <t>-</t>
        </is>
      </c>
      <c r="P162" s="23" t="n">
        <v>0.6</v>
      </c>
      <c r="Q162" s="26" t="inlineStr">
        <is>
          <t>單相/220V/60Hz</t>
        </is>
      </c>
      <c r="R162" s="26" t="n">
        <v>2.9</v>
      </c>
      <c r="S162" s="26" t="n">
        <v>10</v>
      </c>
      <c r="T162" s="26" t="inlineStr">
        <is>
          <t>550×675×284</t>
        </is>
      </c>
    </row>
    <row r="163">
      <c r="B163" s="23" t="inlineStr">
        <is>
          <t>FTXV36XVLT</t>
        </is>
      </c>
      <c r="C163" s="215" t="n">
        <v>3.5</v>
      </c>
      <c r="D163" s="23" t="inlineStr">
        <is>
          <t>壁掛式</t>
        </is>
      </c>
      <c r="E163" s="26" t="inlineStr">
        <is>
          <t>-</t>
        </is>
      </c>
      <c r="F163" s="26" t="inlineStr">
        <is>
          <t>室外機供電</t>
        </is>
      </c>
      <c r="G163" s="26" t="inlineStr">
        <is>
          <t>-</t>
        </is>
      </c>
      <c r="H163" s="26" t="inlineStr">
        <is>
          <t>-</t>
        </is>
      </c>
      <c r="J163" s="26" t="inlineStr">
        <is>
          <t>299×838×275</t>
        </is>
      </c>
      <c r="M163" s="23" t="inlineStr">
        <is>
          <t>RXV36XVLT</t>
        </is>
      </c>
      <c r="N163" s="23" t="inlineStr">
        <is>
          <t>匹配室內機能力</t>
        </is>
      </c>
      <c r="O163" s="26" t="inlineStr">
        <is>
          <t>-</t>
        </is>
      </c>
      <c r="P163" s="23" t="n">
        <v>0.78</v>
      </c>
      <c r="Q163" s="26" t="inlineStr">
        <is>
          <t>單相/220V/60Hz</t>
        </is>
      </c>
      <c r="R163" s="26" t="n">
        <v>3.8</v>
      </c>
      <c r="S163" s="26" t="n">
        <v>10</v>
      </c>
      <c r="T163" s="26" t="inlineStr">
        <is>
          <t>595×845×300</t>
        </is>
      </c>
    </row>
    <row r="164">
      <c r="B164" s="23" t="inlineStr">
        <is>
          <t>FTXV41XVLT</t>
        </is>
      </c>
      <c r="C164" s="215" t="n">
        <v>4.1</v>
      </c>
      <c r="D164" s="23" t="inlineStr">
        <is>
          <t>壁掛式</t>
        </is>
      </c>
      <c r="E164" s="26" t="inlineStr">
        <is>
          <t>-</t>
        </is>
      </c>
      <c r="F164" s="26" t="inlineStr">
        <is>
          <t>室外機供電</t>
        </is>
      </c>
      <c r="G164" s="26" t="inlineStr">
        <is>
          <t>-</t>
        </is>
      </c>
      <c r="H164" s="26" t="inlineStr">
        <is>
          <t>-</t>
        </is>
      </c>
      <c r="J164" s="26" t="inlineStr">
        <is>
          <t>299×920×275</t>
        </is>
      </c>
      <c r="M164" s="23" t="inlineStr">
        <is>
          <t>RXV41XVLT</t>
        </is>
      </c>
      <c r="N164" s="23" t="inlineStr">
        <is>
          <t>匹配室內機能力</t>
        </is>
      </c>
      <c r="O164" s="26" t="inlineStr">
        <is>
          <t>-</t>
        </is>
      </c>
      <c r="P164" s="23" t="n">
        <v>0.995</v>
      </c>
      <c r="Q164" s="26" t="inlineStr">
        <is>
          <t>單相/220V/60Hz</t>
        </is>
      </c>
      <c r="R164" s="26" t="n">
        <v>4.7</v>
      </c>
      <c r="S164" s="26" t="n">
        <v>15</v>
      </c>
      <c r="T164" s="26" t="inlineStr">
        <is>
          <t>595×845×300</t>
        </is>
      </c>
    </row>
    <row r="165">
      <c r="B165" s="23" t="inlineStr">
        <is>
          <t>FTXV50XVLT</t>
        </is>
      </c>
      <c r="C165" s="215" t="n">
        <v>5</v>
      </c>
      <c r="D165" s="23" t="inlineStr">
        <is>
          <t>壁掛式</t>
        </is>
      </c>
      <c r="E165" s="26" t="inlineStr">
        <is>
          <t>-</t>
        </is>
      </c>
      <c r="F165" s="26" t="inlineStr">
        <is>
          <t>室外機供電</t>
        </is>
      </c>
      <c r="G165" s="26" t="inlineStr">
        <is>
          <t>-</t>
        </is>
      </c>
      <c r="H165" s="26" t="inlineStr">
        <is>
          <t>-</t>
        </is>
      </c>
      <c r="J165" s="26" t="inlineStr">
        <is>
          <t>299×920×275</t>
        </is>
      </c>
      <c r="M165" s="23" t="inlineStr">
        <is>
          <t>RXV50XVLT</t>
        </is>
      </c>
      <c r="N165" s="23" t="inlineStr">
        <is>
          <t>匹配室內機能力</t>
        </is>
      </c>
      <c r="O165" s="26" t="inlineStr">
        <is>
          <t>-</t>
        </is>
      </c>
      <c r="P165" s="23" t="n">
        <v>1.37</v>
      </c>
      <c r="Q165" s="26" t="inlineStr">
        <is>
          <t>單相/220V/60Hz</t>
        </is>
      </c>
      <c r="R165" s="26" t="n">
        <v>6.3</v>
      </c>
      <c r="S165" s="26" t="n">
        <v>15</v>
      </c>
      <c r="T165" s="26" t="inlineStr">
        <is>
          <t>595×845×300</t>
        </is>
      </c>
    </row>
    <row r="166">
      <c r="B166" s="23" t="inlineStr">
        <is>
          <t>FTXV60XVLT</t>
        </is>
      </c>
      <c r="C166" s="215" t="n">
        <v>6</v>
      </c>
      <c r="D166" s="23" t="inlineStr">
        <is>
          <t>壁掛式</t>
        </is>
      </c>
      <c r="E166" s="26" t="inlineStr">
        <is>
          <t>-</t>
        </is>
      </c>
      <c r="F166" s="26" t="inlineStr">
        <is>
          <t>室外機供電</t>
        </is>
      </c>
      <c r="G166" s="26" t="inlineStr">
        <is>
          <t>-</t>
        </is>
      </c>
      <c r="H166" s="26" t="inlineStr">
        <is>
          <t>-</t>
        </is>
      </c>
      <c r="J166" s="26" t="inlineStr">
        <is>
          <t>299×1100×275</t>
        </is>
      </c>
      <c r="M166" s="23" t="inlineStr">
        <is>
          <t>RXV60XVLT</t>
        </is>
      </c>
      <c r="N166" s="23" t="inlineStr">
        <is>
          <t>匹配室內機能力</t>
        </is>
      </c>
      <c r="O166" s="26" t="inlineStr">
        <is>
          <t>-</t>
        </is>
      </c>
      <c r="P166" s="23" t="n">
        <v>1.58</v>
      </c>
      <c r="Q166" s="26" t="inlineStr">
        <is>
          <t>單相/220V/60Hz</t>
        </is>
      </c>
      <c r="R166" s="26" t="n">
        <v>7.5</v>
      </c>
      <c r="S166" s="26" t="n">
        <v>15</v>
      </c>
      <c r="T166" s="26" t="inlineStr">
        <is>
          <t>695×930×350</t>
        </is>
      </c>
    </row>
    <row r="167">
      <c r="B167" s="23" t="inlineStr">
        <is>
          <t>FTXV71XVLT</t>
        </is>
      </c>
      <c r="C167" s="215" t="n">
        <v>7.2</v>
      </c>
      <c r="D167" s="23" t="inlineStr">
        <is>
          <t>壁掛式</t>
        </is>
      </c>
      <c r="E167" s="26" t="inlineStr">
        <is>
          <t>-</t>
        </is>
      </c>
      <c r="F167" s="26" t="inlineStr">
        <is>
          <t>室外機供電</t>
        </is>
      </c>
      <c r="G167" s="26" t="inlineStr">
        <is>
          <t>-</t>
        </is>
      </c>
      <c r="H167" s="26" t="inlineStr">
        <is>
          <t>-</t>
        </is>
      </c>
      <c r="J167" s="26" t="inlineStr">
        <is>
          <t>299×1100×275</t>
        </is>
      </c>
      <c r="M167" s="23" t="inlineStr">
        <is>
          <t>RXV71XVLT</t>
        </is>
      </c>
      <c r="N167" s="23" t="inlineStr">
        <is>
          <t>匹配室內機能力</t>
        </is>
      </c>
      <c r="O167" s="26" t="inlineStr">
        <is>
          <t>-</t>
        </is>
      </c>
      <c r="P167" s="23" t="n">
        <v>2.09</v>
      </c>
      <c r="Q167" s="26" t="inlineStr">
        <is>
          <t>單相/220V/60Hz</t>
        </is>
      </c>
      <c r="R167" s="26" t="n">
        <v>9.800000000000001</v>
      </c>
      <c r="S167" s="26" t="n">
        <v>15</v>
      </c>
      <c r="T167" s="26" t="inlineStr">
        <is>
          <t>695×930×350</t>
        </is>
      </c>
    </row>
    <row r="168">
      <c r="B168" s="23" t="inlineStr">
        <is>
          <t>FTXV80XVLT</t>
        </is>
      </c>
      <c r="C168" s="215" t="n">
        <v>8</v>
      </c>
      <c r="D168" s="23" t="inlineStr">
        <is>
          <t>壁掛式</t>
        </is>
      </c>
      <c r="E168" s="26" t="inlineStr">
        <is>
          <t>-</t>
        </is>
      </c>
      <c r="F168" s="26" t="inlineStr">
        <is>
          <t>室外機供電</t>
        </is>
      </c>
      <c r="G168" s="26" t="inlineStr">
        <is>
          <t>-</t>
        </is>
      </c>
      <c r="H168" s="26" t="inlineStr">
        <is>
          <t>-</t>
        </is>
      </c>
      <c r="J168" s="26" t="inlineStr">
        <is>
          <t>329×1240×278</t>
        </is>
      </c>
      <c r="M168" s="23" t="inlineStr">
        <is>
          <t>RXV80XVLT</t>
        </is>
      </c>
      <c r="N168" s="23" t="inlineStr">
        <is>
          <t>匹配室內機能力</t>
        </is>
      </c>
      <c r="O168" s="26" t="inlineStr">
        <is>
          <t>-</t>
        </is>
      </c>
      <c r="P168" s="23" t="n">
        <v>2.12</v>
      </c>
      <c r="Q168" s="26" t="inlineStr">
        <is>
          <t>單相/220V/60Hz</t>
        </is>
      </c>
      <c r="R168" s="26" t="n">
        <v>10</v>
      </c>
      <c r="S168" s="26" t="n">
        <v>20</v>
      </c>
      <c r="T168" s="26" t="inlineStr">
        <is>
          <t>990×940×320</t>
        </is>
      </c>
    </row>
    <row r="169">
      <c r="B169" s="23" t="inlineStr">
        <is>
          <t>FTXV90XVLT</t>
        </is>
      </c>
      <c r="C169" s="215" t="n">
        <v>8.699999999999999</v>
      </c>
      <c r="D169" s="23" t="inlineStr">
        <is>
          <t>壁掛式</t>
        </is>
      </c>
      <c r="E169" s="26" t="inlineStr">
        <is>
          <t>-</t>
        </is>
      </c>
      <c r="F169" s="26" t="inlineStr">
        <is>
          <t>室外機供電</t>
        </is>
      </c>
      <c r="G169" s="26" t="inlineStr">
        <is>
          <t>-</t>
        </is>
      </c>
      <c r="H169" s="26" t="inlineStr">
        <is>
          <t>-</t>
        </is>
      </c>
      <c r="J169" s="26" t="inlineStr">
        <is>
          <t>329×1240×278</t>
        </is>
      </c>
      <c r="M169" s="23" t="inlineStr">
        <is>
          <t>RXV90XVLT</t>
        </is>
      </c>
      <c r="N169" s="23" t="inlineStr">
        <is>
          <t>匹配室內機能力</t>
        </is>
      </c>
      <c r="O169" s="26" t="inlineStr">
        <is>
          <t>-</t>
        </is>
      </c>
      <c r="P169" s="23" t="n">
        <v>2.4</v>
      </c>
      <c r="Q169" s="26" t="inlineStr">
        <is>
          <t>單相/220V/60Hz</t>
        </is>
      </c>
      <c r="R169" s="26" t="n">
        <v>11.3</v>
      </c>
      <c r="S169" s="26" t="n">
        <v>20</v>
      </c>
      <c r="T169" s="26" t="inlineStr">
        <is>
          <t>990×940×320</t>
        </is>
      </c>
    </row>
    <row r="170">
      <c r="B170" s="38" t="n"/>
      <c r="C170" s="218" t="n"/>
      <c r="D170" s="38" t="n"/>
    </row>
    <row r="171">
      <c r="B171" s="40" t="inlineStr">
        <is>
          <t>橫綱Y</t>
        </is>
      </c>
      <c r="C171" s="43" t="n"/>
      <c r="D171" s="43" t="n"/>
      <c r="E171" s="43" t="n"/>
      <c r="F171" s="43" t="n"/>
      <c r="G171" s="43" t="n"/>
      <c r="H171" s="43" t="n"/>
      <c r="M171" s="40" t="inlineStr">
        <is>
          <t>橫綱Y</t>
        </is>
      </c>
      <c r="N171" s="43" t="n"/>
      <c r="O171" s="43" t="n"/>
      <c r="P171" s="43" t="n"/>
      <c r="Q171" s="43" t="n"/>
      <c r="R171" s="43" t="n"/>
      <c r="S171" s="20" t="n"/>
      <c r="T171" s="20" t="n"/>
    </row>
    <row r="172">
      <c r="B172" s="23" t="inlineStr">
        <is>
          <t>FTXM22YVLT</t>
        </is>
      </c>
      <c r="C172" s="215" t="n">
        <v>2.2</v>
      </c>
      <c r="D172" s="23" t="inlineStr">
        <is>
          <t>壁掛式</t>
        </is>
      </c>
      <c r="E172" s="26" t="inlineStr">
        <is>
          <t>-</t>
        </is>
      </c>
      <c r="F172" s="26" t="inlineStr">
        <is>
          <t>室外機供電</t>
        </is>
      </c>
      <c r="G172" s="26" t="inlineStr">
        <is>
          <t>-</t>
        </is>
      </c>
      <c r="H172" s="26" t="inlineStr">
        <is>
          <t>-</t>
        </is>
      </c>
      <c r="J172" s="26" t="inlineStr">
        <is>
          <t>299×920×275</t>
        </is>
      </c>
      <c r="M172" s="23" t="inlineStr">
        <is>
          <t>RXM22YVLT</t>
        </is>
      </c>
      <c r="N172" s="23" t="inlineStr">
        <is>
          <t>匹配室內機能力</t>
        </is>
      </c>
      <c r="O172" s="26" t="inlineStr">
        <is>
          <t>-</t>
        </is>
      </c>
      <c r="P172" s="23" t="n">
        <v>0.36</v>
      </c>
      <c r="Q172" s="26" t="inlineStr">
        <is>
          <t>單相/220V/60Hz</t>
        </is>
      </c>
      <c r="R172" s="26" t="n">
        <v>2.3</v>
      </c>
      <c r="S172" s="26" t="n">
        <v>10</v>
      </c>
      <c r="T172" s="26" t="inlineStr">
        <is>
          <t>595×845×300</t>
        </is>
      </c>
    </row>
    <row r="173">
      <c r="B173" s="23" t="inlineStr">
        <is>
          <t>FTXM28YVLT</t>
        </is>
      </c>
      <c r="C173" s="215" t="n">
        <v>2.8</v>
      </c>
      <c r="D173" s="23" t="inlineStr">
        <is>
          <t>壁掛式</t>
        </is>
      </c>
      <c r="E173" s="26" t="inlineStr">
        <is>
          <t>-</t>
        </is>
      </c>
      <c r="F173" s="26" t="inlineStr">
        <is>
          <t>室外機供電</t>
        </is>
      </c>
      <c r="G173" s="26" t="inlineStr">
        <is>
          <t>-</t>
        </is>
      </c>
      <c r="H173" s="26" t="inlineStr">
        <is>
          <t>-</t>
        </is>
      </c>
      <c r="J173" s="26" t="inlineStr">
        <is>
          <t>299×920×275</t>
        </is>
      </c>
      <c r="M173" s="23" t="inlineStr">
        <is>
          <t>RXM28YVLT</t>
        </is>
      </c>
      <c r="N173" s="23" t="inlineStr">
        <is>
          <t>匹配室內機能力</t>
        </is>
      </c>
      <c r="O173" s="26" t="inlineStr">
        <is>
          <t>-</t>
        </is>
      </c>
      <c r="P173" s="23" t="n">
        <v>0.496</v>
      </c>
      <c r="Q173" s="26" t="inlineStr">
        <is>
          <t>單相/220V/60Hz</t>
        </is>
      </c>
      <c r="R173" s="26" t="n">
        <v>2.5</v>
      </c>
      <c r="S173" s="26" t="n">
        <v>10</v>
      </c>
      <c r="T173" s="26" t="inlineStr">
        <is>
          <t>595×845×300</t>
        </is>
      </c>
    </row>
    <row r="174">
      <c r="B174" s="23" t="inlineStr">
        <is>
          <t>FTXM36YVLT</t>
        </is>
      </c>
      <c r="C174" s="215" t="n">
        <v>3.5</v>
      </c>
      <c r="D174" s="23" t="inlineStr">
        <is>
          <t>壁掛式</t>
        </is>
      </c>
      <c r="E174" s="26" t="inlineStr">
        <is>
          <t>-</t>
        </is>
      </c>
      <c r="F174" s="26" t="inlineStr">
        <is>
          <t>室外機供電</t>
        </is>
      </c>
      <c r="G174" s="26" t="inlineStr">
        <is>
          <t>-</t>
        </is>
      </c>
      <c r="H174" s="26" t="inlineStr">
        <is>
          <t>-</t>
        </is>
      </c>
      <c r="J174" s="26" t="inlineStr">
        <is>
          <t>299×920×275</t>
        </is>
      </c>
      <c r="M174" s="23" t="inlineStr">
        <is>
          <t>RXM36YVLT</t>
        </is>
      </c>
      <c r="N174" s="23" t="inlineStr">
        <is>
          <t>匹配室內機能力</t>
        </is>
      </c>
      <c r="O174" s="26" t="inlineStr">
        <is>
          <t>-</t>
        </is>
      </c>
      <c r="P174" s="23" t="n">
        <v>0.734</v>
      </c>
      <c r="Q174" s="26" t="inlineStr">
        <is>
          <t>單相/220V/60Hz</t>
        </is>
      </c>
      <c r="R174" s="26" t="n">
        <v>3.5</v>
      </c>
      <c r="S174" s="26" t="n">
        <v>10</v>
      </c>
      <c r="T174" s="26" t="inlineStr">
        <is>
          <t>595×845×300</t>
        </is>
      </c>
    </row>
    <row r="175">
      <c r="B175" s="23" t="inlineStr">
        <is>
          <t>FTXM41YVLT</t>
        </is>
      </c>
      <c r="C175" s="215" t="n">
        <v>4.1</v>
      </c>
      <c r="D175" s="23" t="inlineStr">
        <is>
          <t>壁掛式</t>
        </is>
      </c>
      <c r="E175" s="26" t="inlineStr">
        <is>
          <t>-</t>
        </is>
      </c>
      <c r="F175" s="26" t="inlineStr">
        <is>
          <t>室外機供電</t>
        </is>
      </c>
      <c r="G175" s="26" t="inlineStr">
        <is>
          <t>-</t>
        </is>
      </c>
      <c r="H175" s="26" t="inlineStr">
        <is>
          <t>-</t>
        </is>
      </c>
      <c r="J175" s="26" t="inlineStr">
        <is>
          <t>299×1100×275</t>
        </is>
      </c>
      <c r="M175" s="23" t="inlineStr">
        <is>
          <t>RXM41YVLT</t>
        </is>
      </c>
      <c r="N175" s="23" t="inlineStr">
        <is>
          <t>匹配室內機能力</t>
        </is>
      </c>
      <c r="O175" s="26" t="inlineStr">
        <is>
          <t>-</t>
        </is>
      </c>
      <c r="P175" s="23" t="n">
        <v>0.85</v>
      </c>
      <c r="Q175" s="26" t="inlineStr">
        <is>
          <t>單相/220V/60Hz</t>
        </is>
      </c>
      <c r="R175" s="26" t="n">
        <v>4.1</v>
      </c>
      <c r="S175" s="26" t="n">
        <v>16</v>
      </c>
      <c r="T175" s="26" t="inlineStr">
        <is>
          <t>595×845×300</t>
        </is>
      </c>
    </row>
    <row r="176">
      <c r="B176" s="23" t="inlineStr">
        <is>
          <t>FTXM50YVLT</t>
        </is>
      </c>
      <c r="C176" s="215" t="n">
        <v>5</v>
      </c>
      <c r="D176" s="23" t="inlineStr">
        <is>
          <t>壁掛式</t>
        </is>
      </c>
      <c r="E176" s="26" t="inlineStr">
        <is>
          <t>-</t>
        </is>
      </c>
      <c r="F176" s="26" t="inlineStr">
        <is>
          <t>室外機供電</t>
        </is>
      </c>
      <c r="G176" s="26" t="inlineStr">
        <is>
          <t>-</t>
        </is>
      </c>
      <c r="H176" s="26" t="inlineStr">
        <is>
          <t>-</t>
        </is>
      </c>
      <c r="J176" s="26" t="inlineStr">
        <is>
          <t>299×1100×275</t>
        </is>
      </c>
      <c r="M176" s="23" t="inlineStr">
        <is>
          <t>RXM50YVLT</t>
        </is>
      </c>
      <c r="N176" s="23" t="inlineStr">
        <is>
          <t>匹配室內機能力</t>
        </is>
      </c>
      <c r="O176" s="26" t="inlineStr">
        <is>
          <t>-</t>
        </is>
      </c>
      <c r="P176" s="23" t="n">
        <v>1.04</v>
      </c>
      <c r="Q176" s="26" t="inlineStr">
        <is>
          <t>單相/220V/60Hz</t>
        </is>
      </c>
      <c r="R176" s="26" t="n">
        <v>5</v>
      </c>
      <c r="S176" s="26" t="n">
        <v>16</v>
      </c>
      <c r="T176" s="26" t="inlineStr">
        <is>
          <t>695×930×350</t>
        </is>
      </c>
    </row>
    <row r="177">
      <c r="B177" s="23" t="inlineStr">
        <is>
          <t>FTXM60YVLT</t>
        </is>
      </c>
      <c r="C177" s="215" t="n">
        <v>6.3</v>
      </c>
      <c r="D177" s="23" t="inlineStr">
        <is>
          <t>壁掛式</t>
        </is>
      </c>
      <c r="E177" s="26" t="inlineStr">
        <is>
          <t>-</t>
        </is>
      </c>
      <c r="F177" s="26" t="inlineStr">
        <is>
          <t>室外機供電</t>
        </is>
      </c>
      <c r="G177" s="26" t="inlineStr">
        <is>
          <t>-</t>
        </is>
      </c>
      <c r="H177" s="26" t="inlineStr">
        <is>
          <t>-</t>
        </is>
      </c>
      <c r="J177" s="26" t="inlineStr">
        <is>
          <t>299×1100×275</t>
        </is>
      </c>
      <c r="M177" s="23" t="inlineStr">
        <is>
          <t>RXM60YVLT</t>
        </is>
      </c>
      <c r="N177" s="23" t="inlineStr">
        <is>
          <t>匹配室內機能力</t>
        </is>
      </c>
      <c r="O177" s="26" t="inlineStr">
        <is>
          <t>-</t>
        </is>
      </c>
      <c r="P177" s="23" t="n">
        <v>1.53</v>
      </c>
      <c r="Q177" s="26" t="inlineStr">
        <is>
          <t>單相/220V/60Hz</t>
        </is>
      </c>
      <c r="R177" s="26" t="n">
        <v>7.3</v>
      </c>
      <c r="S177" s="26" t="n">
        <v>16</v>
      </c>
      <c r="T177" s="26" t="inlineStr">
        <is>
          <t>695×930×350</t>
        </is>
      </c>
    </row>
    <row r="178">
      <c r="B178" s="23" t="inlineStr">
        <is>
          <t>FTXM71YVLT</t>
        </is>
      </c>
      <c r="C178" s="215" t="n">
        <v>7.2</v>
      </c>
      <c r="D178" s="23" t="inlineStr">
        <is>
          <t>壁掛式</t>
        </is>
      </c>
      <c r="E178" s="26" t="inlineStr">
        <is>
          <t>-</t>
        </is>
      </c>
      <c r="F178" s="26" t="inlineStr">
        <is>
          <t>室外機供電</t>
        </is>
      </c>
      <c r="G178" s="26" t="inlineStr">
        <is>
          <t>-</t>
        </is>
      </c>
      <c r="H178" s="26" t="inlineStr">
        <is>
          <t>-</t>
        </is>
      </c>
      <c r="J178" s="26" t="inlineStr">
        <is>
          <t>299×1100×275</t>
        </is>
      </c>
      <c r="M178" s="23" t="inlineStr">
        <is>
          <t>RXM71YVLT</t>
        </is>
      </c>
      <c r="N178" s="23" t="inlineStr">
        <is>
          <t>匹配室內機能力</t>
        </is>
      </c>
      <c r="O178" s="26" t="inlineStr">
        <is>
          <t>-</t>
        </is>
      </c>
      <c r="P178" s="23" t="n">
        <v>1.89</v>
      </c>
      <c r="Q178" s="26" t="inlineStr">
        <is>
          <t>單相/220V/60Hz</t>
        </is>
      </c>
      <c r="R178" s="26" t="n">
        <v>8.9</v>
      </c>
      <c r="S178" s="26" t="n">
        <v>20</v>
      </c>
      <c r="T178" s="26" t="inlineStr">
        <is>
          <t>695×930×350</t>
        </is>
      </c>
    </row>
    <row r="179">
      <c r="D179" s="38" t="n"/>
      <c r="O179" s="38" t="n"/>
      <c r="T179" s="44" t="n"/>
    </row>
    <row r="180">
      <c r="B180" s="40" t="inlineStr">
        <is>
          <t>橫綱Z</t>
        </is>
      </c>
      <c r="C180" s="215" t="n"/>
      <c r="D180" s="23" t="n"/>
      <c r="E180" s="26" t="n"/>
      <c r="F180" s="26" t="n"/>
      <c r="G180" s="26" t="n"/>
      <c r="H180" s="26" t="n"/>
      <c r="M180" s="40" t="inlineStr">
        <is>
          <t>橫綱Z</t>
        </is>
      </c>
      <c r="N180" s="23" t="n"/>
      <c r="O180" s="23" t="n"/>
      <c r="P180" s="26" t="n"/>
      <c r="Q180" s="26" t="n"/>
      <c r="R180" s="26" t="n"/>
    </row>
    <row r="181">
      <c r="B181" s="23" t="inlineStr">
        <is>
          <t>FTXM22ZVLT</t>
        </is>
      </c>
      <c r="C181" s="215" t="n">
        <v>2.2</v>
      </c>
      <c r="D181" s="23" t="inlineStr">
        <is>
          <t>壁掛式</t>
        </is>
      </c>
      <c r="E181" s="26" t="inlineStr">
        <is>
          <t>-</t>
        </is>
      </c>
      <c r="F181" s="26" t="inlineStr">
        <is>
          <t>室外機供電</t>
        </is>
      </c>
      <c r="G181" s="26" t="inlineStr">
        <is>
          <t>-</t>
        </is>
      </c>
      <c r="H181" s="26" t="inlineStr">
        <is>
          <t>-</t>
        </is>
      </c>
      <c r="J181" s="26" t="inlineStr">
        <is>
          <t>299×838×275</t>
        </is>
      </c>
      <c r="M181" s="23" t="inlineStr">
        <is>
          <t>RXM22ZVLT</t>
        </is>
      </c>
      <c r="N181" s="23" t="inlineStr">
        <is>
          <t>匹配室內機能力</t>
        </is>
      </c>
      <c r="O181" s="26" t="inlineStr">
        <is>
          <t>-</t>
        </is>
      </c>
      <c r="P181" s="23" t="n">
        <v>0.435</v>
      </c>
      <c r="Q181" s="26" t="inlineStr">
        <is>
          <t>單相/220V/60Hz</t>
        </is>
      </c>
      <c r="R181" s="26" t="n">
        <v>2.2</v>
      </c>
      <c r="S181" s="26" t="n">
        <v>10</v>
      </c>
      <c r="T181" s="26" t="inlineStr">
        <is>
          <t>550×675×284</t>
        </is>
      </c>
    </row>
    <row r="182">
      <c r="B182" s="23" t="inlineStr">
        <is>
          <t>FTXM28ZVLT</t>
        </is>
      </c>
      <c r="C182" s="215" t="n">
        <v>2.8</v>
      </c>
      <c r="D182" s="23" t="inlineStr">
        <is>
          <t>壁掛式</t>
        </is>
      </c>
      <c r="E182" s="26" t="inlineStr">
        <is>
          <t>-</t>
        </is>
      </c>
      <c r="F182" s="26" t="inlineStr">
        <is>
          <t>室外機供電</t>
        </is>
      </c>
      <c r="G182" s="26" t="inlineStr">
        <is>
          <t>-</t>
        </is>
      </c>
      <c r="H182" s="26" t="inlineStr">
        <is>
          <t>-</t>
        </is>
      </c>
      <c r="J182" s="26" t="inlineStr">
        <is>
          <t>299×838×275</t>
        </is>
      </c>
      <c r="M182" s="23" t="inlineStr">
        <is>
          <t>RXM28ZVLT</t>
        </is>
      </c>
      <c r="N182" s="23" t="inlineStr">
        <is>
          <t>匹配室內機能力</t>
        </is>
      </c>
      <c r="O182" s="26" t="inlineStr">
        <is>
          <t>-</t>
        </is>
      </c>
      <c r="P182" s="23" t="n">
        <v>0.6</v>
      </c>
      <c r="Q182" s="26" t="inlineStr">
        <is>
          <t>單相/220V/60Hz</t>
        </is>
      </c>
      <c r="R182" s="26" t="n">
        <v>2.9</v>
      </c>
      <c r="S182" s="26" t="n">
        <v>10</v>
      </c>
      <c r="T182" s="26" t="inlineStr">
        <is>
          <t>550×675×284</t>
        </is>
      </c>
    </row>
    <row r="183">
      <c r="B183" s="23" t="inlineStr">
        <is>
          <t>FTXM36ZVLT</t>
        </is>
      </c>
      <c r="C183" s="215" t="n">
        <v>3.5</v>
      </c>
      <c r="D183" s="23" t="inlineStr">
        <is>
          <t>壁掛式</t>
        </is>
      </c>
      <c r="E183" s="26" t="inlineStr">
        <is>
          <t>-</t>
        </is>
      </c>
      <c r="F183" s="26" t="inlineStr">
        <is>
          <t>室外機供電</t>
        </is>
      </c>
      <c r="G183" s="26" t="inlineStr">
        <is>
          <t>-</t>
        </is>
      </c>
      <c r="H183" s="26" t="inlineStr">
        <is>
          <t>-</t>
        </is>
      </c>
      <c r="J183" s="26" t="inlineStr">
        <is>
          <t>299×838×275</t>
        </is>
      </c>
      <c r="M183" s="23" t="inlineStr">
        <is>
          <t>RXM36ZVLT</t>
        </is>
      </c>
      <c r="N183" s="23" t="inlineStr">
        <is>
          <t>匹配室內機能力</t>
        </is>
      </c>
      <c r="O183" s="26" t="inlineStr">
        <is>
          <t>-</t>
        </is>
      </c>
      <c r="P183" s="23" t="n">
        <v>0.78</v>
      </c>
      <c r="Q183" s="26" t="inlineStr">
        <is>
          <t>單相/220V/60Hz</t>
        </is>
      </c>
      <c r="R183" s="26" t="n">
        <v>3.8</v>
      </c>
      <c r="S183" s="26" t="n">
        <v>10</v>
      </c>
      <c r="T183" s="26" t="inlineStr">
        <is>
          <t>550×845×300</t>
        </is>
      </c>
    </row>
    <row r="184">
      <c r="B184" s="23" t="inlineStr">
        <is>
          <t>FTXM41ZVLT</t>
        </is>
      </c>
      <c r="C184" s="215" t="n">
        <v>4.1</v>
      </c>
      <c r="D184" s="23" t="inlineStr">
        <is>
          <t>壁掛式</t>
        </is>
      </c>
      <c r="E184" s="26" t="inlineStr">
        <is>
          <t>-</t>
        </is>
      </c>
      <c r="F184" s="26" t="inlineStr">
        <is>
          <t>室外機供電</t>
        </is>
      </c>
      <c r="G184" s="26" t="inlineStr">
        <is>
          <t>-</t>
        </is>
      </c>
      <c r="H184" s="26" t="inlineStr">
        <is>
          <t>-</t>
        </is>
      </c>
      <c r="J184" s="26" t="inlineStr">
        <is>
          <t>299×920×275</t>
        </is>
      </c>
      <c r="M184" s="23" t="inlineStr">
        <is>
          <t>RXM41ZVLT</t>
        </is>
      </c>
      <c r="N184" s="23" t="inlineStr">
        <is>
          <t>匹配室內機能力</t>
        </is>
      </c>
      <c r="O184" s="26" t="inlineStr">
        <is>
          <t>-</t>
        </is>
      </c>
      <c r="P184" s="23" t="n">
        <v>0.995</v>
      </c>
      <c r="Q184" s="26" t="inlineStr">
        <is>
          <t>單相/220V/60Hz</t>
        </is>
      </c>
      <c r="R184" s="26" t="n">
        <v>4.7</v>
      </c>
      <c r="S184" s="26" t="n">
        <v>15</v>
      </c>
      <c r="T184" s="26" t="inlineStr">
        <is>
          <t>550×845×300</t>
        </is>
      </c>
    </row>
    <row r="185">
      <c r="B185" s="23" t="inlineStr">
        <is>
          <t>FTXM50ZVLT</t>
        </is>
      </c>
      <c r="C185" s="215" t="n">
        <v>5</v>
      </c>
      <c r="D185" s="23" t="inlineStr">
        <is>
          <t>壁掛式</t>
        </is>
      </c>
      <c r="E185" s="26" t="inlineStr">
        <is>
          <t>-</t>
        </is>
      </c>
      <c r="F185" s="26" t="inlineStr">
        <is>
          <t>室外機供電</t>
        </is>
      </c>
      <c r="G185" s="26" t="inlineStr">
        <is>
          <t>-</t>
        </is>
      </c>
      <c r="H185" s="26" t="inlineStr">
        <is>
          <t>-</t>
        </is>
      </c>
      <c r="J185" s="26" t="inlineStr">
        <is>
          <t>299×920×275</t>
        </is>
      </c>
      <c r="M185" s="23" t="inlineStr">
        <is>
          <t>RXM50ZVLT</t>
        </is>
      </c>
      <c r="N185" s="23" t="inlineStr">
        <is>
          <t>匹配室內機能力</t>
        </is>
      </c>
      <c r="O185" s="26" t="inlineStr">
        <is>
          <t>-</t>
        </is>
      </c>
      <c r="P185" s="23" t="n">
        <v>1.37</v>
      </c>
      <c r="Q185" s="26" t="inlineStr">
        <is>
          <t>單相/220V/60Hz</t>
        </is>
      </c>
      <c r="R185" s="26" t="n">
        <v>6.3</v>
      </c>
      <c r="S185" s="26" t="n">
        <v>15</v>
      </c>
      <c r="T185" s="26" t="inlineStr">
        <is>
          <t>550×845×300</t>
        </is>
      </c>
    </row>
    <row r="186">
      <c r="B186" s="23" t="inlineStr">
        <is>
          <t>FTXM60ZVLT</t>
        </is>
      </c>
      <c r="C186" s="215" t="n">
        <v>6</v>
      </c>
      <c r="D186" s="23" t="inlineStr">
        <is>
          <t>壁掛式</t>
        </is>
      </c>
      <c r="E186" s="26" t="inlineStr">
        <is>
          <t>-</t>
        </is>
      </c>
      <c r="F186" s="26" t="inlineStr">
        <is>
          <t>室外機供電</t>
        </is>
      </c>
      <c r="G186" s="26" t="inlineStr">
        <is>
          <t>-</t>
        </is>
      </c>
      <c r="H186" s="26" t="inlineStr">
        <is>
          <t>-</t>
        </is>
      </c>
      <c r="J186" s="26" t="inlineStr">
        <is>
          <t>299×1100×275</t>
        </is>
      </c>
      <c r="M186" s="23" t="inlineStr">
        <is>
          <t>RXM60ZVLT</t>
        </is>
      </c>
      <c r="N186" s="23" t="inlineStr">
        <is>
          <t>匹配室內機能力</t>
        </is>
      </c>
      <c r="O186" s="26" t="inlineStr">
        <is>
          <t>-</t>
        </is>
      </c>
      <c r="P186" s="23" t="n">
        <v>1.58</v>
      </c>
      <c r="Q186" s="26" t="inlineStr">
        <is>
          <t>單相/220V/60Hz</t>
        </is>
      </c>
      <c r="R186" s="26" t="n">
        <v>7.5</v>
      </c>
      <c r="S186" s="26" t="n">
        <v>15</v>
      </c>
      <c r="T186" s="26" t="inlineStr">
        <is>
          <t>695×930×350</t>
        </is>
      </c>
    </row>
    <row r="187">
      <c r="B187" s="23" t="inlineStr">
        <is>
          <t>FTXM71ZVLT</t>
        </is>
      </c>
      <c r="C187" s="215" t="n">
        <v>7.2</v>
      </c>
      <c r="D187" s="23" t="inlineStr">
        <is>
          <t>壁掛式</t>
        </is>
      </c>
      <c r="E187" s="26" t="inlineStr">
        <is>
          <t>-</t>
        </is>
      </c>
      <c r="F187" s="26" t="inlineStr">
        <is>
          <t>室外機供電</t>
        </is>
      </c>
      <c r="G187" s="26" t="inlineStr">
        <is>
          <t>-</t>
        </is>
      </c>
      <c r="H187" s="26" t="inlineStr">
        <is>
          <t>-</t>
        </is>
      </c>
      <c r="J187" s="26" t="inlineStr">
        <is>
          <t>299×1100×275</t>
        </is>
      </c>
      <c r="M187" s="23" t="inlineStr">
        <is>
          <t>RXM71ZVLT</t>
        </is>
      </c>
      <c r="N187" s="23" t="inlineStr">
        <is>
          <t>匹配室內機能力</t>
        </is>
      </c>
      <c r="O187" s="26" t="inlineStr">
        <is>
          <t>-</t>
        </is>
      </c>
      <c r="P187" s="23" t="n">
        <v>2.09</v>
      </c>
      <c r="Q187" s="26" t="inlineStr">
        <is>
          <t>單相/220V/60Hz</t>
        </is>
      </c>
      <c r="R187" s="26" t="n">
        <v>9.800000000000001</v>
      </c>
      <c r="S187" s="26" t="n">
        <v>15</v>
      </c>
      <c r="T187" s="26" t="inlineStr">
        <is>
          <t>695×930×350</t>
        </is>
      </c>
    </row>
    <row r="188">
      <c r="B188" s="23" t="inlineStr">
        <is>
          <t>FTXM80ZVLT</t>
        </is>
      </c>
      <c r="C188" s="215" t="n">
        <v>8</v>
      </c>
      <c r="D188" s="23" t="inlineStr">
        <is>
          <t>壁掛式</t>
        </is>
      </c>
      <c r="E188" s="26" t="inlineStr">
        <is>
          <t>-</t>
        </is>
      </c>
      <c r="F188" s="26" t="inlineStr">
        <is>
          <t>室外機供電</t>
        </is>
      </c>
      <c r="G188" s="26" t="inlineStr">
        <is>
          <t>-</t>
        </is>
      </c>
      <c r="H188" s="26" t="inlineStr">
        <is>
          <t>-</t>
        </is>
      </c>
      <c r="J188" s="26" t="inlineStr">
        <is>
          <t>329×1240×278</t>
        </is>
      </c>
      <c r="M188" s="23" t="inlineStr">
        <is>
          <t>RXM80ZVLT</t>
        </is>
      </c>
      <c r="N188" s="23" t="inlineStr">
        <is>
          <t>匹配室內機能力</t>
        </is>
      </c>
      <c r="O188" s="26" t="inlineStr">
        <is>
          <t>-</t>
        </is>
      </c>
      <c r="P188" s="23" t="n">
        <v>2.12</v>
      </c>
      <c r="Q188" s="26" t="inlineStr">
        <is>
          <t>單相/220V/60Hz</t>
        </is>
      </c>
      <c r="R188" s="26" t="n">
        <v>10</v>
      </c>
      <c r="S188" s="26" t="n">
        <v>20</v>
      </c>
      <c r="T188" s="26" t="inlineStr">
        <is>
          <t>990×940×320</t>
        </is>
      </c>
    </row>
    <row r="189">
      <c r="B189" s="23" t="inlineStr">
        <is>
          <t>FTXM90ZVLT</t>
        </is>
      </c>
      <c r="C189" s="215" t="n">
        <v>8.699999999999999</v>
      </c>
      <c r="D189" s="23" t="inlineStr">
        <is>
          <t>壁掛式</t>
        </is>
      </c>
      <c r="E189" s="26" t="inlineStr">
        <is>
          <t>-</t>
        </is>
      </c>
      <c r="F189" s="26" t="inlineStr">
        <is>
          <t>室外機供電</t>
        </is>
      </c>
      <c r="G189" s="26" t="inlineStr">
        <is>
          <t>-</t>
        </is>
      </c>
      <c r="H189" s="26" t="inlineStr">
        <is>
          <t>-</t>
        </is>
      </c>
      <c r="J189" s="26" t="inlineStr">
        <is>
          <t>329×1240×278</t>
        </is>
      </c>
      <c r="M189" s="23" t="inlineStr">
        <is>
          <t>RXM90ZVLT</t>
        </is>
      </c>
      <c r="N189" s="23" t="inlineStr">
        <is>
          <t>匹配室內機能力</t>
        </is>
      </c>
      <c r="O189" s="26" t="inlineStr">
        <is>
          <t>-</t>
        </is>
      </c>
      <c r="P189" s="23" t="n">
        <v>2.4</v>
      </c>
      <c r="Q189" s="26" t="inlineStr">
        <is>
          <t>單相/220V/60Hz</t>
        </is>
      </c>
      <c r="R189" s="26" t="n">
        <v>11.3</v>
      </c>
      <c r="S189" s="26" t="n">
        <v>20</v>
      </c>
      <c r="T189" s="26" t="inlineStr">
        <is>
          <t>990×940×320</t>
        </is>
      </c>
    </row>
    <row r="190">
      <c r="B190" s="38" t="n"/>
      <c r="C190" s="218" t="n"/>
      <c r="D190" s="38" t="n"/>
    </row>
    <row r="191">
      <c r="B191" s="40" t="inlineStr">
        <is>
          <t>大關U</t>
        </is>
      </c>
      <c r="C191" s="215" t="n"/>
      <c r="D191" s="23" t="n"/>
      <c r="E191" s="26" t="n"/>
      <c r="F191" s="26" t="n"/>
      <c r="G191" s="26" t="n"/>
      <c r="H191" s="26" t="n"/>
      <c r="M191" s="40" t="inlineStr">
        <is>
          <t>大關U</t>
        </is>
      </c>
      <c r="N191" s="23" t="n"/>
      <c r="O191" s="26" t="n"/>
      <c r="P191" s="26" t="n"/>
      <c r="Q191" s="23" t="n"/>
      <c r="R191" s="23" t="n"/>
      <c r="S191" s="38" t="n"/>
      <c r="T191" s="38" t="n"/>
    </row>
    <row r="192">
      <c r="B192" s="23" t="inlineStr">
        <is>
          <t>FTXV22UVLT</t>
        </is>
      </c>
      <c r="C192" s="215" t="n">
        <v>2.2</v>
      </c>
      <c r="D192" s="23" t="inlineStr">
        <is>
          <t>壁掛式</t>
        </is>
      </c>
      <c r="E192" s="26" t="inlineStr">
        <is>
          <t>-</t>
        </is>
      </c>
      <c r="F192" s="26" t="inlineStr">
        <is>
          <t>室外機供電</t>
        </is>
      </c>
      <c r="G192" s="26" t="inlineStr">
        <is>
          <t>-</t>
        </is>
      </c>
      <c r="H192" s="26" t="inlineStr">
        <is>
          <t>-</t>
        </is>
      </c>
      <c r="J192" s="26" t="inlineStr">
        <is>
          <t>285×770×226</t>
        </is>
      </c>
      <c r="M192" s="23" t="inlineStr">
        <is>
          <t>RXV22UVLT</t>
        </is>
      </c>
      <c r="N192" s="23" t="inlineStr">
        <is>
          <t>匹配室內機能力</t>
        </is>
      </c>
      <c r="O192" s="26" t="inlineStr">
        <is>
          <t>-</t>
        </is>
      </c>
      <c r="P192" s="23" t="n">
        <v>0.455</v>
      </c>
      <c r="Q192" s="26" t="inlineStr">
        <is>
          <t>單相/220V/60Hz</t>
        </is>
      </c>
      <c r="R192" s="26" t="n">
        <v>2.3</v>
      </c>
      <c r="S192" s="26" t="n">
        <v>15</v>
      </c>
      <c r="T192" s="26" t="inlineStr">
        <is>
          <t>550×675×284</t>
        </is>
      </c>
    </row>
    <row r="193">
      <c r="B193" s="23" t="inlineStr">
        <is>
          <t>FTXV28UVLT</t>
        </is>
      </c>
      <c r="C193" s="215" t="n">
        <v>2.8</v>
      </c>
      <c r="D193" s="23" t="inlineStr">
        <is>
          <t>壁掛式</t>
        </is>
      </c>
      <c r="E193" s="26" t="inlineStr">
        <is>
          <t>-</t>
        </is>
      </c>
      <c r="F193" s="26" t="inlineStr">
        <is>
          <t>室外機供電</t>
        </is>
      </c>
      <c r="G193" s="26" t="inlineStr">
        <is>
          <t>-</t>
        </is>
      </c>
      <c r="H193" s="26" t="inlineStr">
        <is>
          <t>-</t>
        </is>
      </c>
      <c r="J193" s="26" t="inlineStr">
        <is>
          <t>285×770×226</t>
        </is>
      </c>
      <c r="M193" s="23" t="inlineStr">
        <is>
          <t>RXV28UVLT</t>
        </is>
      </c>
      <c r="N193" s="23" t="inlineStr">
        <is>
          <t>匹配室內機能力</t>
        </is>
      </c>
      <c r="O193" s="26" t="inlineStr">
        <is>
          <t>-</t>
        </is>
      </c>
      <c r="P193" s="23" t="n">
        <v>0.62</v>
      </c>
      <c r="Q193" s="26" t="inlineStr">
        <is>
          <t>單相/220V/60Hz</t>
        </is>
      </c>
      <c r="R193" s="26" t="n">
        <v>3.1</v>
      </c>
      <c r="S193" s="26" t="n">
        <v>15</v>
      </c>
      <c r="T193" s="26" t="inlineStr">
        <is>
          <t>550×675×284</t>
        </is>
      </c>
    </row>
    <row r="194">
      <c r="B194" s="23" t="inlineStr">
        <is>
          <t>FTXV36UVLT</t>
        </is>
      </c>
      <c r="C194" s="215" t="n">
        <v>3.5</v>
      </c>
      <c r="D194" s="23" t="inlineStr">
        <is>
          <t>壁掛式</t>
        </is>
      </c>
      <c r="E194" s="26" t="inlineStr">
        <is>
          <t>-</t>
        </is>
      </c>
      <c r="F194" s="26" t="inlineStr">
        <is>
          <t>室外機供電</t>
        </is>
      </c>
      <c r="G194" s="26" t="inlineStr">
        <is>
          <t>-</t>
        </is>
      </c>
      <c r="H194" s="26" t="inlineStr">
        <is>
          <t>-</t>
        </is>
      </c>
      <c r="J194" s="26" t="inlineStr">
        <is>
          <t>285×770×226</t>
        </is>
      </c>
      <c r="M194" s="23" t="inlineStr">
        <is>
          <t>RXV36UVLT</t>
        </is>
      </c>
      <c r="N194" s="23" t="inlineStr">
        <is>
          <t>匹配室內機能力</t>
        </is>
      </c>
      <c r="O194" s="26" t="inlineStr">
        <is>
          <t>-</t>
        </is>
      </c>
      <c r="P194" s="23" t="n">
        <v>0.785</v>
      </c>
      <c r="Q194" s="26" t="inlineStr">
        <is>
          <t>單相/220V/60Hz</t>
        </is>
      </c>
      <c r="R194" s="26" t="n">
        <v>3.8</v>
      </c>
      <c r="S194" s="26" t="n">
        <v>15</v>
      </c>
      <c r="T194" s="26" t="inlineStr">
        <is>
          <t>550×845×300</t>
        </is>
      </c>
    </row>
    <row r="195">
      <c r="B195" s="23" t="inlineStr">
        <is>
          <t>FTXV41UVLT</t>
        </is>
      </c>
      <c r="C195" s="215" t="n">
        <v>4.1</v>
      </c>
      <c r="D195" s="23" t="inlineStr">
        <is>
          <t>壁掛式</t>
        </is>
      </c>
      <c r="E195" s="26" t="inlineStr">
        <is>
          <t>-</t>
        </is>
      </c>
      <c r="F195" s="26" t="inlineStr">
        <is>
          <t>室外機供電</t>
        </is>
      </c>
      <c r="G195" s="26" t="inlineStr">
        <is>
          <t>-</t>
        </is>
      </c>
      <c r="H195" s="26" t="inlineStr">
        <is>
          <t>-</t>
        </is>
      </c>
      <c r="J195" s="26" t="inlineStr">
        <is>
          <t>295×990×266</t>
        </is>
      </c>
      <c r="M195" s="23" t="inlineStr">
        <is>
          <t>RXV41UVLT</t>
        </is>
      </c>
      <c r="N195" s="23" t="inlineStr">
        <is>
          <t>匹配室內機能力</t>
        </is>
      </c>
      <c r="O195" s="26" t="inlineStr">
        <is>
          <t>-</t>
        </is>
      </c>
      <c r="P195" s="23" t="n">
        <v>0.9399999999999999</v>
      </c>
      <c r="Q195" s="26" t="inlineStr">
        <is>
          <t>單相/220V/60Hz</t>
        </is>
      </c>
      <c r="R195" s="26" t="n">
        <v>4.5</v>
      </c>
      <c r="S195" s="26" t="n">
        <v>15</v>
      </c>
      <c r="T195" s="26" t="inlineStr">
        <is>
          <t>550×845×300</t>
        </is>
      </c>
    </row>
    <row r="196">
      <c r="B196" s="23" t="inlineStr">
        <is>
          <t>FTXV50UVLT</t>
        </is>
      </c>
      <c r="C196" s="215" t="n">
        <v>5</v>
      </c>
      <c r="D196" s="23" t="inlineStr">
        <is>
          <t>壁掛式</t>
        </is>
      </c>
      <c r="E196" s="26" t="inlineStr">
        <is>
          <t>-</t>
        </is>
      </c>
      <c r="F196" s="26" t="inlineStr">
        <is>
          <t>室外機供電</t>
        </is>
      </c>
      <c r="G196" s="26" t="inlineStr">
        <is>
          <t>-</t>
        </is>
      </c>
      <c r="H196" s="26" t="inlineStr">
        <is>
          <t>-</t>
        </is>
      </c>
      <c r="J196" s="26" t="inlineStr">
        <is>
          <t>295×990×266</t>
        </is>
      </c>
      <c r="M196" s="23" t="inlineStr">
        <is>
          <t>RXV50UVLT</t>
        </is>
      </c>
      <c r="N196" s="23" t="inlineStr">
        <is>
          <t>匹配室內機能力</t>
        </is>
      </c>
      <c r="O196" s="26" t="inlineStr">
        <is>
          <t>-</t>
        </is>
      </c>
      <c r="P196" s="23" t="n">
        <v>1.34</v>
      </c>
      <c r="Q196" s="26" t="inlineStr">
        <is>
          <t>單相/220V/60Hz</t>
        </is>
      </c>
      <c r="R196" s="26" t="n">
        <v>6.3</v>
      </c>
      <c r="S196" s="26" t="n">
        <v>15</v>
      </c>
      <c r="T196" s="26" t="inlineStr">
        <is>
          <t>550×845×300</t>
        </is>
      </c>
    </row>
    <row r="197">
      <c r="B197" s="23" t="inlineStr">
        <is>
          <t>FTXV60UVLT</t>
        </is>
      </c>
      <c r="C197" s="215" t="n">
        <v>6</v>
      </c>
      <c r="D197" s="23" t="inlineStr">
        <is>
          <t>壁掛式</t>
        </is>
      </c>
      <c r="E197" s="26" t="inlineStr">
        <is>
          <t>-</t>
        </is>
      </c>
      <c r="F197" s="26" t="inlineStr">
        <is>
          <t>室外機供電</t>
        </is>
      </c>
      <c r="G197" s="26" t="inlineStr">
        <is>
          <t>-</t>
        </is>
      </c>
      <c r="H197" s="26" t="inlineStr">
        <is>
          <t>-</t>
        </is>
      </c>
      <c r="J197" s="26" t="inlineStr">
        <is>
          <t>295×990×266</t>
        </is>
      </c>
      <c r="M197" s="23" t="inlineStr">
        <is>
          <t>RXV60UVLT</t>
        </is>
      </c>
      <c r="N197" s="23" t="inlineStr">
        <is>
          <t>匹配室內機能力</t>
        </is>
      </c>
      <c r="O197" s="26" t="inlineStr">
        <is>
          <t>-</t>
        </is>
      </c>
      <c r="P197" s="23" t="n">
        <v>1.67</v>
      </c>
      <c r="Q197" s="26" t="inlineStr">
        <is>
          <t>單相/220V/60Hz</t>
        </is>
      </c>
      <c r="R197" s="26" t="n">
        <v>7.8</v>
      </c>
      <c r="S197" s="26" t="n">
        <v>15</v>
      </c>
      <c r="T197" s="26" t="inlineStr">
        <is>
          <t>695×930×350</t>
        </is>
      </c>
    </row>
    <row r="198">
      <c r="B198" s="23" t="inlineStr">
        <is>
          <t>FTXV71UVLT</t>
        </is>
      </c>
      <c r="C198" s="215" t="n">
        <v>7.2</v>
      </c>
      <c r="D198" s="23" t="inlineStr">
        <is>
          <t>壁掛式</t>
        </is>
      </c>
      <c r="E198" s="26" t="inlineStr">
        <is>
          <t>-</t>
        </is>
      </c>
      <c r="F198" s="26" t="inlineStr">
        <is>
          <t>室外機供電</t>
        </is>
      </c>
      <c r="G198" s="26" t="inlineStr">
        <is>
          <t>-</t>
        </is>
      </c>
      <c r="H198" s="26" t="inlineStr">
        <is>
          <t>-</t>
        </is>
      </c>
      <c r="J198" s="26" t="inlineStr">
        <is>
          <t>295×990×266</t>
        </is>
      </c>
      <c r="M198" s="23" t="inlineStr">
        <is>
          <t>RXV71UVLT</t>
        </is>
      </c>
      <c r="N198" s="23" t="inlineStr">
        <is>
          <t>匹配室內機能力</t>
        </is>
      </c>
      <c r="O198" s="26" t="inlineStr">
        <is>
          <t>-</t>
        </is>
      </c>
      <c r="P198" s="23" t="n">
        <v>2.18</v>
      </c>
      <c r="Q198" s="26" t="inlineStr">
        <is>
          <t>單相/220V/60Hz</t>
        </is>
      </c>
      <c r="R198" s="26" t="n">
        <v>10.2</v>
      </c>
      <c r="S198" s="26" t="n">
        <v>15</v>
      </c>
      <c r="T198" s="26" t="inlineStr">
        <is>
          <t>695×930×350</t>
        </is>
      </c>
    </row>
    <row r="199">
      <c r="B199" s="38" t="n"/>
      <c r="C199" s="218" t="n"/>
      <c r="D199" s="38" t="n"/>
    </row>
    <row r="200">
      <c r="B200" s="40" t="inlineStr">
        <is>
          <t>大關Z</t>
        </is>
      </c>
      <c r="C200" s="215" t="n"/>
      <c r="D200" s="23" t="n"/>
      <c r="E200" s="26" t="n"/>
      <c r="F200" s="26" t="n"/>
      <c r="G200" s="26" t="n"/>
      <c r="H200" s="26" t="n"/>
      <c r="M200" s="40" t="inlineStr">
        <is>
          <t>大關Z</t>
        </is>
      </c>
      <c r="N200" s="23" t="n"/>
      <c r="O200" s="26" t="n"/>
      <c r="P200" s="26" t="n"/>
      <c r="Q200" s="23" t="n"/>
      <c r="R200" s="23" t="n"/>
      <c r="S200" s="38" t="n"/>
      <c r="T200" s="38" t="n"/>
    </row>
    <row r="201">
      <c r="B201" s="23" t="inlineStr">
        <is>
          <t>FTXV22ZVLT</t>
        </is>
      </c>
      <c r="C201" s="215" t="n">
        <v>2.2</v>
      </c>
      <c r="D201" s="23" t="inlineStr">
        <is>
          <t>壁掛式</t>
        </is>
      </c>
      <c r="E201" s="26" t="inlineStr">
        <is>
          <t>-</t>
        </is>
      </c>
      <c r="F201" s="26" t="inlineStr">
        <is>
          <t>室外機供電</t>
        </is>
      </c>
      <c r="G201" s="26" t="inlineStr">
        <is>
          <t>-</t>
        </is>
      </c>
      <c r="H201" s="26" t="inlineStr">
        <is>
          <t>-</t>
        </is>
      </c>
      <c r="J201" s="26" t="inlineStr">
        <is>
          <t>286×770×244</t>
        </is>
      </c>
      <c r="M201" s="23" t="inlineStr">
        <is>
          <t>RXV22ZVLT</t>
        </is>
      </c>
      <c r="N201" s="23" t="inlineStr">
        <is>
          <t>匹配室內機能力</t>
        </is>
      </c>
      <c r="O201" s="26" t="inlineStr">
        <is>
          <t>-</t>
        </is>
      </c>
      <c r="P201" s="23" t="n">
        <v>0.458</v>
      </c>
      <c r="Q201" s="26" t="inlineStr">
        <is>
          <t>單相/220V/60Hz</t>
        </is>
      </c>
      <c r="R201" s="26" t="n">
        <v>3.1</v>
      </c>
      <c r="S201" s="26" t="n">
        <v>15</v>
      </c>
      <c r="T201" s="26" t="inlineStr">
        <is>
          <t>550×675×284</t>
        </is>
      </c>
    </row>
    <row r="202">
      <c r="B202" s="23" t="inlineStr">
        <is>
          <t>FTXV28ZVLT</t>
        </is>
      </c>
      <c r="C202" s="215" t="n">
        <v>2.8</v>
      </c>
      <c r="D202" s="23" t="inlineStr">
        <is>
          <t>壁掛式</t>
        </is>
      </c>
      <c r="E202" s="26" t="inlineStr">
        <is>
          <t>-</t>
        </is>
      </c>
      <c r="F202" s="26" t="inlineStr">
        <is>
          <t>室外機供電</t>
        </is>
      </c>
      <c r="G202" s="26" t="inlineStr">
        <is>
          <t>-</t>
        </is>
      </c>
      <c r="H202" s="26" t="inlineStr">
        <is>
          <t>-</t>
        </is>
      </c>
      <c r="J202" s="26" t="inlineStr">
        <is>
          <t>286×770×244</t>
        </is>
      </c>
      <c r="M202" s="23" t="inlineStr">
        <is>
          <t>RXV28ZVLT</t>
        </is>
      </c>
      <c r="N202" s="23" t="inlineStr">
        <is>
          <t>匹配室內機能力</t>
        </is>
      </c>
      <c r="O202" s="26" t="inlineStr">
        <is>
          <t>-</t>
        </is>
      </c>
      <c r="P202" s="23" t="n">
        <v>0.67</v>
      </c>
      <c r="Q202" s="26" t="inlineStr">
        <is>
          <t>單相/220V/60Hz</t>
        </is>
      </c>
      <c r="R202" s="26" t="n">
        <v>3.5</v>
      </c>
      <c r="S202" s="26" t="n">
        <v>15</v>
      </c>
      <c r="T202" s="26" t="inlineStr">
        <is>
          <t>550×675×284</t>
        </is>
      </c>
    </row>
    <row r="203">
      <c r="B203" s="23" t="inlineStr">
        <is>
          <t>FTXV36ZVLT</t>
        </is>
      </c>
      <c r="C203" s="215" t="n">
        <v>3.5</v>
      </c>
      <c r="D203" s="23" t="inlineStr">
        <is>
          <t>壁掛式</t>
        </is>
      </c>
      <c r="E203" s="26" t="inlineStr">
        <is>
          <t>-</t>
        </is>
      </c>
      <c r="F203" s="26" t="inlineStr">
        <is>
          <t>室外機供電</t>
        </is>
      </c>
      <c r="G203" s="26" t="inlineStr">
        <is>
          <t>-</t>
        </is>
      </c>
      <c r="H203" s="26" t="inlineStr">
        <is>
          <t>-</t>
        </is>
      </c>
      <c r="J203" s="26" t="inlineStr">
        <is>
          <t>286×770×244</t>
        </is>
      </c>
      <c r="M203" s="23" t="inlineStr">
        <is>
          <t>RXV36ZVLT</t>
        </is>
      </c>
      <c r="N203" s="23" t="inlineStr">
        <is>
          <t>匹配室內機能力</t>
        </is>
      </c>
      <c r="O203" s="26" t="inlineStr">
        <is>
          <t>-</t>
        </is>
      </c>
      <c r="P203" s="23" t="n">
        <v>0.78</v>
      </c>
      <c r="Q203" s="26" t="inlineStr">
        <is>
          <t>單相/220V/60Hz</t>
        </is>
      </c>
      <c r="R203" s="26" t="n">
        <v>3.7</v>
      </c>
      <c r="S203" s="26" t="n">
        <v>15</v>
      </c>
      <c r="T203" s="26" t="inlineStr">
        <is>
          <t>595×845×300</t>
        </is>
      </c>
    </row>
    <row r="204">
      <c r="B204" s="23" t="inlineStr">
        <is>
          <t>FTXV41ZVLT</t>
        </is>
      </c>
      <c r="C204" s="215" t="n">
        <v>4.1</v>
      </c>
      <c r="D204" s="23" t="inlineStr">
        <is>
          <t>壁掛式</t>
        </is>
      </c>
      <c r="E204" s="26" t="inlineStr">
        <is>
          <t>-</t>
        </is>
      </c>
      <c r="F204" s="26" t="inlineStr">
        <is>
          <t>室外機供電</t>
        </is>
      </c>
      <c r="G204" s="26" t="inlineStr">
        <is>
          <t>-</t>
        </is>
      </c>
      <c r="H204" s="26" t="inlineStr">
        <is>
          <t>-</t>
        </is>
      </c>
      <c r="J204" s="26" t="inlineStr">
        <is>
          <t>295×993×281</t>
        </is>
      </c>
      <c r="M204" s="23" t="inlineStr">
        <is>
          <t>RXV41ZVLT</t>
        </is>
      </c>
      <c r="N204" s="23" t="inlineStr">
        <is>
          <t>匹配室內機能力</t>
        </is>
      </c>
      <c r="O204" s="26" t="inlineStr">
        <is>
          <t>-</t>
        </is>
      </c>
      <c r="P204" s="23" t="n">
        <v>0.98</v>
      </c>
      <c r="Q204" s="26" t="inlineStr">
        <is>
          <t>單相/220V/60Hz</t>
        </is>
      </c>
      <c r="R204" s="26" t="n">
        <v>5.3</v>
      </c>
      <c r="S204" s="26" t="n">
        <v>15</v>
      </c>
      <c r="T204" s="26" t="inlineStr">
        <is>
          <t>595×845×300</t>
        </is>
      </c>
    </row>
    <row r="205">
      <c r="B205" s="23" t="inlineStr">
        <is>
          <t>FTXV50ZVLT</t>
        </is>
      </c>
      <c r="C205" s="215" t="n">
        <v>5</v>
      </c>
      <c r="D205" s="23" t="inlineStr">
        <is>
          <t>壁掛式</t>
        </is>
      </c>
      <c r="E205" s="26" t="inlineStr">
        <is>
          <t>-</t>
        </is>
      </c>
      <c r="F205" s="26" t="inlineStr">
        <is>
          <t>室外機供電</t>
        </is>
      </c>
      <c r="G205" s="26" t="inlineStr">
        <is>
          <t>-</t>
        </is>
      </c>
      <c r="H205" s="26" t="inlineStr">
        <is>
          <t>-</t>
        </is>
      </c>
      <c r="J205" s="26" t="inlineStr">
        <is>
          <t>295×993×281</t>
        </is>
      </c>
      <c r="M205" s="23" t="inlineStr">
        <is>
          <t>RXV50ZVLT</t>
        </is>
      </c>
      <c r="N205" s="23" t="inlineStr">
        <is>
          <t>匹配室內機能力</t>
        </is>
      </c>
      <c r="O205" s="26" t="inlineStr">
        <is>
          <t>-</t>
        </is>
      </c>
      <c r="P205" s="23" t="n">
        <v>1.29</v>
      </c>
      <c r="Q205" s="26" t="inlineStr">
        <is>
          <t>單相/220V/60Hz</t>
        </is>
      </c>
      <c r="R205" s="26" t="n">
        <v>6</v>
      </c>
      <c r="S205" s="26" t="n">
        <v>15</v>
      </c>
      <c r="T205" s="26" t="inlineStr">
        <is>
          <t>595×845×300</t>
        </is>
      </c>
    </row>
    <row r="206">
      <c r="B206" s="23" t="inlineStr">
        <is>
          <t>FTXV60ZVLT</t>
        </is>
      </c>
      <c r="C206" s="215" t="n">
        <v>6</v>
      </c>
      <c r="D206" s="23" t="inlineStr">
        <is>
          <t>壁掛式</t>
        </is>
      </c>
      <c r="E206" s="26" t="inlineStr">
        <is>
          <t>-</t>
        </is>
      </c>
      <c r="F206" s="26" t="inlineStr">
        <is>
          <t>室外機供電</t>
        </is>
      </c>
      <c r="G206" s="26" t="inlineStr">
        <is>
          <t>-</t>
        </is>
      </c>
      <c r="H206" s="26" t="inlineStr">
        <is>
          <t>-</t>
        </is>
      </c>
      <c r="J206" s="26" t="inlineStr">
        <is>
          <t>295×993×281</t>
        </is>
      </c>
      <c r="M206" s="23" t="inlineStr">
        <is>
          <t>RXV60ZVLT</t>
        </is>
      </c>
      <c r="N206" s="23" t="inlineStr">
        <is>
          <t>匹配室內機能力</t>
        </is>
      </c>
      <c r="O206" s="26" t="inlineStr">
        <is>
          <t>-</t>
        </is>
      </c>
      <c r="P206" s="23" t="n">
        <v>1.72</v>
      </c>
      <c r="Q206" s="26" t="inlineStr">
        <is>
          <t>單相/220V/60Hz</t>
        </is>
      </c>
      <c r="R206" s="26" t="n">
        <v>8</v>
      </c>
      <c r="S206" s="26" t="n">
        <v>15</v>
      </c>
      <c r="T206" s="26" t="inlineStr">
        <is>
          <t>595×845×300</t>
        </is>
      </c>
    </row>
    <row r="207">
      <c r="B207" s="23" t="inlineStr">
        <is>
          <t>FTXV71ZVLT</t>
        </is>
      </c>
      <c r="C207" s="215" t="n">
        <v>7.2</v>
      </c>
      <c r="D207" s="23" t="inlineStr">
        <is>
          <t>壁掛式</t>
        </is>
      </c>
      <c r="E207" s="26" t="inlineStr">
        <is>
          <t>-</t>
        </is>
      </c>
      <c r="F207" s="26" t="inlineStr">
        <is>
          <t>室外機供電</t>
        </is>
      </c>
      <c r="G207" s="26" t="inlineStr">
        <is>
          <t>-</t>
        </is>
      </c>
      <c r="H207" s="26" t="inlineStr">
        <is>
          <t>-</t>
        </is>
      </c>
      <c r="J207" s="26" t="inlineStr">
        <is>
          <t>295×993×281</t>
        </is>
      </c>
      <c r="M207" s="23" t="inlineStr">
        <is>
          <t>RXV71ZVLT</t>
        </is>
      </c>
      <c r="N207" s="23" t="inlineStr">
        <is>
          <t>匹配室內機能力</t>
        </is>
      </c>
      <c r="O207" s="26" t="inlineStr">
        <is>
          <t>-</t>
        </is>
      </c>
      <c r="P207" s="23" t="n">
        <v>2.15</v>
      </c>
      <c r="Q207" s="26" t="inlineStr">
        <is>
          <t>單相/220V/60Hz</t>
        </is>
      </c>
      <c r="R207" s="26" t="n">
        <v>10</v>
      </c>
      <c r="S207" s="26" t="n">
        <v>15</v>
      </c>
      <c r="T207" s="26" t="inlineStr">
        <is>
          <t>595×845×300</t>
        </is>
      </c>
    </row>
    <row r="208">
      <c r="B208" s="38" t="n"/>
      <c r="C208" s="218" t="n"/>
      <c r="D208" s="38" t="n"/>
    </row>
    <row r="209">
      <c r="B209" s="40" t="inlineStr">
        <is>
          <t>經典VA</t>
        </is>
      </c>
      <c r="C209" s="215" t="n"/>
      <c r="D209" s="23" t="n"/>
      <c r="E209" s="26" t="n"/>
      <c r="F209" s="26" t="n"/>
      <c r="G209" s="26" t="n"/>
      <c r="H209" s="26" t="n"/>
      <c r="M209" s="40" t="inlineStr">
        <is>
          <t>經典V</t>
        </is>
      </c>
      <c r="N209" s="23" t="n"/>
      <c r="O209" s="26" t="n"/>
      <c r="P209" s="26" t="n"/>
      <c r="Q209" s="23" t="n"/>
      <c r="R209" s="23" t="n"/>
      <c r="S209" s="38" t="n"/>
      <c r="T209" s="38" t="n"/>
    </row>
    <row r="210">
      <c r="B210" s="23" t="inlineStr">
        <is>
          <t>FTHF20VAVLT</t>
        </is>
      </c>
      <c r="C210" s="215" t="n">
        <v>2.2</v>
      </c>
      <c r="D210" s="23" t="inlineStr">
        <is>
          <t>壁掛式</t>
        </is>
      </c>
      <c r="E210" s="26" t="inlineStr">
        <is>
          <t>-</t>
        </is>
      </c>
      <c r="F210" s="26" t="inlineStr">
        <is>
          <t>室外機供電</t>
        </is>
      </c>
      <c r="G210" s="26" t="inlineStr">
        <is>
          <t>-</t>
        </is>
      </c>
      <c r="H210" s="26" t="inlineStr">
        <is>
          <t>-</t>
        </is>
      </c>
      <c r="J210" s="26" t="inlineStr">
        <is>
          <t>285×770×242</t>
        </is>
      </c>
      <c r="M210" s="23" t="inlineStr">
        <is>
          <t>RHF20VAVLT</t>
        </is>
      </c>
      <c r="N210" s="23" t="inlineStr">
        <is>
          <t>匹配室內機能力</t>
        </is>
      </c>
      <c r="O210" s="26" t="inlineStr">
        <is>
          <t>-</t>
        </is>
      </c>
      <c r="P210" s="26" t="n">
        <v>0.465</v>
      </c>
      <c r="Q210" s="26" t="inlineStr">
        <is>
          <t>單相/220V/60Hz</t>
        </is>
      </c>
      <c r="R210" s="26" t="n">
        <v>3.1</v>
      </c>
      <c r="S210" s="26" t="n">
        <v>15</v>
      </c>
      <c r="T210" s="26" t="inlineStr">
        <is>
          <t>550×675×284</t>
        </is>
      </c>
    </row>
    <row r="211">
      <c r="B211" s="23" t="inlineStr">
        <is>
          <t>FTHF25VAVLT</t>
        </is>
      </c>
      <c r="C211" s="215" t="n">
        <v>2.5</v>
      </c>
      <c r="D211" s="23" t="inlineStr">
        <is>
          <t>壁掛式</t>
        </is>
      </c>
      <c r="E211" s="26" t="inlineStr">
        <is>
          <t>-</t>
        </is>
      </c>
      <c r="F211" s="26" t="inlineStr">
        <is>
          <t>室外機供電</t>
        </is>
      </c>
      <c r="G211" s="26" t="inlineStr">
        <is>
          <t>-</t>
        </is>
      </c>
      <c r="H211" s="26" t="inlineStr">
        <is>
          <t>-</t>
        </is>
      </c>
      <c r="J211" s="26" t="inlineStr">
        <is>
          <t>285×770×242</t>
        </is>
      </c>
      <c r="M211" s="23" t="inlineStr">
        <is>
          <t>RHF25VAVLT</t>
        </is>
      </c>
      <c r="N211" s="23" t="inlineStr">
        <is>
          <t>匹配室內機能力</t>
        </is>
      </c>
      <c r="O211" s="26" t="inlineStr">
        <is>
          <t>-</t>
        </is>
      </c>
      <c r="P211" s="26" t="n">
        <v>0.55</v>
      </c>
      <c r="Q211" s="26" t="inlineStr">
        <is>
          <t>單相/220V/60Hz</t>
        </is>
      </c>
      <c r="R211" s="26" t="n">
        <v>2.8</v>
      </c>
      <c r="S211" s="26" t="n">
        <v>15</v>
      </c>
      <c r="T211" s="26" t="inlineStr">
        <is>
          <t>550×675×284</t>
        </is>
      </c>
      <c r="U211" s="20" t="n"/>
      <c r="V211" s="20" t="n"/>
      <c r="W211" s="20" t="n"/>
      <c r="X211" s="20" t="n"/>
    </row>
    <row r="212">
      <c r="B212" s="23" t="inlineStr">
        <is>
          <t>FTHF30VAVLT</t>
        </is>
      </c>
      <c r="C212" s="215" t="n">
        <v>3</v>
      </c>
      <c r="D212" s="23" t="inlineStr">
        <is>
          <t>壁掛式</t>
        </is>
      </c>
      <c r="E212" s="26" t="inlineStr">
        <is>
          <t>-</t>
        </is>
      </c>
      <c r="F212" s="26" t="inlineStr">
        <is>
          <t>室外機供電</t>
        </is>
      </c>
      <c r="G212" s="26" t="inlineStr">
        <is>
          <t>-</t>
        </is>
      </c>
      <c r="H212" s="26" t="inlineStr">
        <is>
          <t>-</t>
        </is>
      </c>
      <c r="J212" s="26" t="inlineStr">
        <is>
          <t>285×770×242</t>
        </is>
      </c>
      <c r="M212" s="23" t="inlineStr">
        <is>
          <t>RHF30VAVLT</t>
        </is>
      </c>
      <c r="N212" s="23" t="inlineStr">
        <is>
          <t>匹配室內機能力</t>
        </is>
      </c>
      <c r="O212" s="26" t="inlineStr">
        <is>
          <t>-</t>
        </is>
      </c>
      <c r="P212" s="26" t="n">
        <v>0.7</v>
      </c>
      <c r="Q212" s="26" t="inlineStr">
        <is>
          <t>單相/220V/60Hz</t>
        </is>
      </c>
      <c r="R212" s="26" t="n">
        <v>3.4</v>
      </c>
      <c r="S212" s="26" t="n">
        <v>15</v>
      </c>
      <c r="T212" s="26" t="inlineStr">
        <is>
          <t>550×675×284</t>
        </is>
      </c>
      <c r="U212" s="20" t="n"/>
      <c r="V212" s="20" t="n"/>
      <c r="W212" s="20" t="n"/>
      <c r="X212" s="20" t="n"/>
    </row>
    <row r="213">
      <c r="B213" s="23" t="inlineStr">
        <is>
          <t>FTHF40VVLT</t>
        </is>
      </c>
      <c r="C213" s="215" t="n">
        <v>4</v>
      </c>
      <c r="D213" s="23" t="inlineStr">
        <is>
          <t>壁掛式</t>
        </is>
      </c>
      <c r="E213" s="26" t="inlineStr">
        <is>
          <t>-</t>
        </is>
      </c>
      <c r="F213" s="26" t="inlineStr">
        <is>
          <t>室外機供電</t>
        </is>
      </c>
      <c r="G213" s="26" t="inlineStr">
        <is>
          <t>-</t>
        </is>
      </c>
      <c r="H213" s="26" t="inlineStr">
        <is>
          <t>-</t>
        </is>
      </c>
      <c r="J213" s="26" t="inlineStr">
        <is>
          <t>295×990×281</t>
        </is>
      </c>
      <c r="M213" s="23" t="inlineStr">
        <is>
          <t>RHF40VVLT</t>
        </is>
      </c>
      <c r="N213" s="23" t="inlineStr">
        <is>
          <t>匹配室內機能力</t>
        </is>
      </c>
      <c r="O213" s="26" t="inlineStr">
        <is>
          <t>-</t>
        </is>
      </c>
      <c r="P213" s="26" t="n">
        <v>0.952</v>
      </c>
      <c r="Q213" s="26" t="inlineStr">
        <is>
          <t>單相/220V/60Hz</t>
        </is>
      </c>
      <c r="R213" s="26" t="n">
        <v>5.1</v>
      </c>
      <c r="S213" s="26" t="n">
        <v>15</v>
      </c>
      <c r="T213" s="26" t="inlineStr">
        <is>
          <t>595×845×300</t>
        </is>
      </c>
      <c r="U213" s="20" t="n"/>
      <c r="V213" s="20" t="n"/>
      <c r="W213" s="20" t="n"/>
      <c r="X213" s="20" t="n"/>
    </row>
    <row r="214">
      <c r="B214" s="23" t="inlineStr">
        <is>
          <t>FTHF50VVLT</t>
        </is>
      </c>
      <c r="C214" s="215" t="n">
        <v>5</v>
      </c>
      <c r="D214" s="23" t="inlineStr">
        <is>
          <t>壁掛式</t>
        </is>
      </c>
      <c r="E214" s="26" t="inlineStr">
        <is>
          <t>-</t>
        </is>
      </c>
      <c r="F214" s="26" t="inlineStr">
        <is>
          <t>室外機供電</t>
        </is>
      </c>
      <c r="G214" s="26" t="inlineStr">
        <is>
          <t>-</t>
        </is>
      </c>
      <c r="H214" s="26" t="inlineStr">
        <is>
          <t>-</t>
        </is>
      </c>
      <c r="J214" s="26" t="inlineStr">
        <is>
          <t>295×990×281</t>
        </is>
      </c>
      <c r="M214" s="23" t="inlineStr">
        <is>
          <t>RHF50VVLT</t>
        </is>
      </c>
      <c r="N214" s="23" t="inlineStr">
        <is>
          <t>匹配室內機能力</t>
        </is>
      </c>
      <c r="O214" s="26" t="inlineStr">
        <is>
          <t>-</t>
        </is>
      </c>
      <c r="P214" s="26" t="n">
        <v>1.315</v>
      </c>
      <c r="Q214" s="26" t="inlineStr">
        <is>
          <t>單相/220V/60Hz</t>
        </is>
      </c>
      <c r="R214" s="26" t="n">
        <v>6.1</v>
      </c>
      <c r="S214" s="26" t="n">
        <v>15</v>
      </c>
      <c r="T214" s="26" t="inlineStr">
        <is>
          <t>595×845×300</t>
        </is>
      </c>
      <c r="U214" s="20" t="n"/>
      <c r="V214" s="20" t="n"/>
      <c r="W214" s="20" t="n"/>
      <c r="X214" s="20" t="n"/>
    </row>
    <row r="215">
      <c r="B215" s="23" t="inlineStr">
        <is>
          <t>FTHF60VVLT</t>
        </is>
      </c>
      <c r="C215" s="215" t="n">
        <v>6</v>
      </c>
      <c r="D215" s="23" t="inlineStr">
        <is>
          <t>壁掛式</t>
        </is>
      </c>
      <c r="E215" s="26" t="inlineStr">
        <is>
          <t>-</t>
        </is>
      </c>
      <c r="F215" s="26" t="inlineStr">
        <is>
          <t>室外機供電</t>
        </is>
      </c>
      <c r="G215" s="26" t="inlineStr">
        <is>
          <t>-</t>
        </is>
      </c>
      <c r="H215" s="26" t="inlineStr">
        <is>
          <t>-</t>
        </is>
      </c>
      <c r="J215" s="26" t="inlineStr">
        <is>
          <t>295×990×281</t>
        </is>
      </c>
      <c r="M215" s="23" t="inlineStr">
        <is>
          <t>RHF60VVLT</t>
        </is>
      </c>
      <c r="N215" s="23" t="inlineStr">
        <is>
          <t>匹配室內機能力</t>
        </is>
      </c>
      <c r="O215" s="26" t="inlineStr">
        <is>
          <t>-</t>
        </is>
      </c>
      <c r="P215" s="26" t="n">
        <v>1.78</v>
      </c>
      <c r="Q215" s="26" t="inlineStr">
        <is>
          <t>單相/220V/60Hz</t>
        </is>
      </c>
      <c r="R215" s="26" t="n">
        <v>8.199999999999999</v>
      </c>
      <c r="S215" s="26" t="n">
        <v>15</v>
      </c>
      <c r="T215" s="26" t="inlineStr">
        <is>
          <t>595×845×300</t>
        </is>
      </c>
      <c r="U215" s="20" t="n"/>
      <c r="V215" s="20" t="n"/>
      <c r="W215" s="20" t="n"/>
      <c r="X215" s="20" t="n"/>
    </row>
    <row r="216">
      <c r="B216" s="23" t="inlineStr">
        <is>
          <t>FTHF71VVLT</t>
        </is>
      </c>
      <c r="C216" s="215" t="n">
        <v>7.2</v>
      </c>
      <c r="D216" s="23" t="inlineStr">
        <is>
          <t>壁掛式</t>
        </is>
      </c>
      <c r="E216" s="26" t="inlineStr">
        <is>
          <t>-</t>
        </is>
      </c>
      <c r="F216" s="26" t="inlineStr">
        <is>
          <t>室外機供電</t>
        </is>
      </c>
      <c r="G216" s="26" t="inlineStr">
        <is>
          <t>-</t>
        </is>
      </c>
      <c r="H216" s="26" t="inlineStr">
        <is>
          <t>-</t>
        </is>
      </c>
      <c r="J216" s="26" t="inlineStr">
        <is>
          <t>295×990×281</t>
        </is>
      </c>
      <c r="M216" s="23" t="inlineStr">
        <is>
          <t>RHF71VVLT</t>
        </is>
      </c>
      <c r="N216" s="23" t="inlineStr">
        <is>
          <t>匹配室內機能力</t>
        </is>
      </c>
      <c r="O216" s="26" t="inlineStr">
        <is>
          <t>-</t>
        </is>
      </c>
      <c r="P216" s="26" t="n">
        <v>2.23</v>
      </c>
      <c r="Q216" s="26" t="inlineStr">
        <is>
          <t>單相/220V/60Hz</t>
        </is>
      </c>
      <c r="R216" s="26" t="n">
        <v>10.2</v>
      </c>
      <c r="S216" s="26" t="n">
        <v>15</v>
      </c>
      <c r="T216" s="26" t="inlineStr">
        <is>
          <t>595×845×300</t>
        </is>
      </c>
      <c r="U216" s="20" t="n"/>
      <c r="V216" s="20" t="n"/>
      <c r="W216" s="20" t="n"/>
      <c r="X216" s="20" t="n"/>
    </row>
    <row r="217">
      <c r="B217" s="38" t="n"/>
      <c r="C217" s="218" t="n"/>
      <c r="D217" s="38" t="n"/>
      <c r="M217" s="38" t="n"/>
      <c r="N217" s="38" t="n"/>
      <c r="U217" s="20" t="n"/>
      <c r="V217" s="20" t="n"/>
      <c r="W217" s="20" t="n"/>
      <c r="X217" s="20" t="n"/>
    </row>
    <row r="218">
      <c r="B218" s="40" t="inlineStr">
        <is>
          <t>豪菁Z</t>
        </is>
      </c>
      <c r="C218" s="215" t="n"/>
      <c r="D218" s="23" t="n"/>
      <c r="E218" s="26" t="n"/>
      <c r="F218" s="26" t="n"/>
      <c r="G218" s="26" t="n"/>
      <c r="H218" s="26" t="n"/>
      <c r="M218" s="40" t="inlineStr">
        <is>
          <t>豪菁Z</t>
        </is>
      </c>
      <c r="N218" s="23" t="n"/>
      <c r="O218" s="26" t="n"/>
      <c r="P218" s="26" t="n"/>
      <c r="Q218" s="23" t="n"/>
      <c r="R218" s="23" t="n"/>
      <c r="S218" s="38" t="n"/>
      <c r="T218" s="38" t="n"/>
      <c r="U218" s="20" t="n"/>
      <c r="V218" s="20" t="n"/>
      <c r="W218" s="20" t="n"/>
      <c r="X218" s="20" t="n"/>
    </row>
    <row r="219">
      <c r="B219" s="23" t="inlineStr">
        <is>
          <t>FTHF20ZVLT</t>
        </is>
      </c>
      <c r="C219" s="215" t="n">
        <v>2.2</v>
      </c>
      <c r="D219" s="23" t="inlineStr">
        <is>
          <t>壁掛式</t>
        </is>
      </c>
      <c r="E219" s="26" t="inlineStr">
        <is>
          <t>-</t>
        </is>
      </c>
      <c r="F219" s="26" t="inlineStr">
        <is>
          <t>室外機供電</t>
        </is>
      </c>
      <c r="G219" s="26" t="inlineStr">
        <is>
          <t>-</t>
        </is>
      </c>
      <c r="H219" s="26" t="inlineStr">
        <is>
          <t>-</t>
        </is>
      </c>
      <c r="J219" s="26" t="inlineStr">
        <is>
          <t>285×770×242</t>
        </is>
      </c>
      <c r="M219" s="23" t="inlineStr">
        <is>
          <t>RHF20ZVLT</t>
        </is>
      </c>
      <c r="N219" s="23" t="inlineStr">
        <is>
          <t>匹配室內機能力</t>
        </is>
      </c>
      <c r="O219" s="26" t="inlineStr">
        <is>
          <t>-</t>
        </is>
      </c>
      <c r="P219" s="26" t="n">
        <v>0.465</v>
      </c>
      <c r="Q219" s="26" t="inlineStr">
        <is>
          <t>單相/220V/60Hz</t>
        </is>
      </c>
      <c r="R219" s="26" t="n">
        <v>3.1</v>
      </c>
      <c r="S219" s="26" t="n">
        <v>15</v>
      </c>
      <c r="T219" s="26" t="inlineStr">
        <is>
          <t>550×675×284</t>
        </is>
      </c>
      <c r="U219" s="20" t="n"/>
      <c r="V219" s="20" t="n"/>
      <c r="W219" s="20" t="n"/>
      <c r="X219" s="20" t="n"/>
    </row>
    <row r="220">
      <c r="B220" s="23" t="inlineStr">
        <is>
          <t>FTHF25ZVLT</t>
        </is>
      </c>
      <c r="C220" s="215" t="n">
        <v>2.5</v>
      </c>
      <c r="D220" s="23" t="inlineStr">
        <is>
          <t>壁掛式</t>
        </is>
      </c>
      <c r="E220" s="26" t="inlineStr">
        <is>
          <t>-</t>
        </is>
      </c>
      <c r="F220" s="26" t="inlineStr">
        <is>
          <t>室外機供電</t>
        </is>
      </c>
      <c r="G220" s="26" t="inlineStr">
        <is>
          <t>-</t>
        </is>
      </c>
      <c r="H220" s="26" t="inlineStr">
        <is>
          <t>-</t>
        </is>
      </c>
      <c r="J220" s="26" t="inlineStr">
        <is>
          <t>285×770×242</t>
        </is>
      </c>
      <c r="M220" s="23" t="inlineStr">
        <is>
          <t>RHF25ZVLT</t>
        </is>
      </c>
      <c r="N220" s="23" t="inlineStr">
        <is>
          <t>匹配室內機能力</t>
        </is>
      </c>
      <c r="O220" s="26" t="inlineStr">
        <is>
          <t>-</t>
        </is>
      </c>
      <c r="P220" s="26" t="n">
        <v>0.55</v>
      </c>
      <c r="Q220" s="26" t="inlineStr">
        <is>
          <t>單相/220V/60Hz</t>
        </is>
      </c>
      <c r="R220" s="26" t="n">
        <v>2.8</v>
      </c>
      <c r="S220" s="26" t="n">
        <v>15</v>
      </c>
      <c r="T220" s="26" t="inlineStr">
        <is>
          <t>550×675×284</t>
        </is>
      </c>
      <c r="U220" s="20" t="n"/>
    </row>
    <row r="221">
      <c r="B221" s="23" t="inlineStr">
        <is>
          <t>FTHF30ZVLT</t>
        </is>
      </c>
      <c r="C221" s="215" t="n">
        <v>3</v>
      </c>
      <c r="D221" s="23" t="inlineStr">
        <is>
          <t>壁掛式</t>
        </is>
      </c>
      <c r="E221" s="26" t="inlineStr">
        <is>
          <t>-</t>
        </is>
      </c>
      <c r="F221" s="26" t="inlineStr">
        <is>
          <t>室外機供電</t>
        </is>
      </c>
      <c r="G221" s="26" t="inlineStr">
        <is>
          <t>-</t>
        </is>
      </c>
      <c r="H221" s="26" t="inlineStr">
        <is>
          <t>-</t>
        </is>
      </c>
      <c r="J221" s="26" t="inlineStr">
        <is>
          <t>285×770×242</t>
        </is>
      </c>
      <c r="M221" s="23" t="inlineStr">
        <is>
          <t>RHF30ZVLT</t>
        </is>
      </c>
      <c r="N221" s="23" t="inlineStr">
        <is>
          <t>匹配室內機能力</t>
        </is>
      </c>
      <c r="O221" s="26" t="inlineStr">
        <is>
          <t>-</t>
        </is>
      </c>
      <c r="P221" s="26" t="n">
        <v>0.6840000000000001</v>
      </c>
      <c r="Q221" s="26" t="inlineStr">
        <is>
          <t>單相/220V/60Hz</t>
        </is>
      </c>
      <c r="R221" s="26" t="n">
        <v>3.4</v>
      </c>
      <c r="S221" s="26" t="n">
        <v>15</v>
      </c>
      <c r="T221" s="26" t="inlineStr">
        <is>
          <t>550×675×284</t>
        </is>
      </c>
      <c r="U221" s="20" t="n"/>
    </row>
    <row r="222">
      <c r="B222" s="23" t="inlineStr">
        <is>
          <t>FTHF40ZVLT</t>
        </is>
      </c>
      <c r="C222" s="215" t="n">
        <v>4.1</v>
      </c>
      <c r="D222" s="23" t="inlineStr">
        <is>
          <t>壁掛式</t>
        </is>
      </c>
      <c r="E222" s="26" t="inlineStr">
        <is>
          <t>-</t>
        </is>
      </c>
      <c r="F222" s="26" t="inlineStr">
        <is>
          <t>室外機供電</t>
        </is>
      </c>
      <c r="G222" s="26" t="inlineStr">
        <is>
          <t>-</t>
        </is>
      </c>
      <c r="H222" s="26" t="inlineStr">
        <is>
          <t>-</t>
        </is>
      </c>
      <c r="J222" s="26" t="inlineStr">
        <is>
          <t>295×990×281</t>
        </is>
      </c>
      <c r="M222" s="23" t="inlineStr">
        <is>
          <t>RHF40ZVLT</t>
        </is>
      </c>
      <c r="N222" s="23" t="inlineStr">
        <is>
          <t>匹配室內機能力</t>
        </is>
      </c>
      <c r="O222" s="26" t="inlineStr">
        <is>
          <t>-</t>
        </is>
      </c>
      <c r="P222" s="26" t="n">
        <v>1</v>
      </c>
      <c r="Q222" s="26" t="inlineStr">
        <is>
          <t>單相/220V/60Hz</t>
        </is>
      </c>
      <c r="R222" s="26" t="n">
        <v>5.4</v>
      </c>
      <c r="S222" s="26" t="n">
        <v>15</v>
      </c>
      <c r="T222" s="26" t="inlineStr">
        <is>
          <t>595×845×300</t>
        </is>
      </c>
      <c r="U222" s="20" t="n"/>
    </row>
    <row r="223">
      <c r="B223" s="23" t="inlineStr">
        <is>
          <t>FTHF50ZVLT</t>
        </is>
      </c>
      <c r="C223" s="215" t="n">
        <v>5</v>
      </c>
      <c r="D223" s="23" t="inlineStr">
        <is>
          <t>壁掛式</t>
        </is>
      </c>
      <c r="E223" s="26" t="inlineStr">
        <is>
          <t>-</t>
        </is>
      </c>
      <c r="F223" s="26" t="inlineStr">
        <is>
          <t>室外機供電</t>
        </is>
      </c>
      <c r="G223" s="26" t="inlineStr">
        <is>
          <t>-</t>
        </is>
      </c>
      <c r="H223" s="26" t="inlineStr">
        <is>
          <t>-</t>
        </is>
      </c>
      <c r="J223" s="26" t="inlineStr">
        <is>
          <t>295×990×281</t>
        </is>
      </c>
      <c r="M223" s="23" t="inlineStr">
        <is>
          <t>RHF50ZVLT</t>
        </is>
      </c>
      <c r="N223" s="23" t="inlineStr">
        <is>
          <t>匹配室內機能力</t>
        </is>
      </c>
      <c r="O223" s="26" t="inlineStr">
        <is>
          <t>-</t>
        </is>
      </c>
      <c r="P223" s="26" t="n">
        <v>1.315</v>
      </c>
      <c r="Q223" s="26" t="inlineStr">
        <is>
          <t>單相/220V/60Hz</t>
        </is>
      </c>
      <c r="R223" s="26" t="n">
        <v>6.1</v>
      </c>
      <c r="S223" s="26" t="n">
        <v>15</v>
      </c>
      <c r="T223" s="26" t="inlineStr">
        <is>
          <t>595×845×300</t>
        </is>
      </c>
      <c r="U223" s="20" t="n"/>
    </row>
    <row r="224">
      <c r="B224" s="23" t="inlineStr">
        <is>
          <t>FTHF60ZVLT</t>
        </is>
      </c>
      <c r="C224" s="215" t="n">
        <v>6</v>
      </c>
      <c r="D224" s="23" t="inlineStr">
        <is>
          <t>壁掛式</t>
        </is>
      </c>
      <c r="E224" s="26" t="inlineStr">
        <is>
          <t>-</t>
        </is>
      </c>
      <c r="F224" s="26" t="inlineStr">
        <is>
          <t>室外機供電</t>
        </is>
      </c>
      <c r="G224" s="26" t="inlineStr">
        <is>
          <t>-</t>
        </is>
      </c>
      <c r="H224" s="26" t="inlineStr">
        <is>
          <t>-</t>
        </is>
      </c>
      <c r="J224" s="26" t="inlineStr">
        <is>
          <t>295×990×281</t>
        </is>
      </c>
      <c r="M224" s="23" t="inlineStr">
        <is>
          <t>RHF60ZVLT</t>
        </is>
      </c>
      <c r="N224" s="23" t="inlineStr">
        <is>
          <t>匹配室內機能力</t>
        </is>
      </c>
      <c r="O224" s="26" t="inlineStr">
        <is>
          <t>-</t>
        </is>
      </c>
      <c r="P224" s="26" t="n">
        <v>1.72</v>
      </c>
      <c r="Q224" s="26" t="inlineStr">
        <is>
          <t>單相/220V/60Hz</t>
        </is>
      </c>
      <c r="R224" s="26" t="n">
        <v>8</v>
      </c>
      <c r="S224" s="26" t="n">
        <v>15</v>
      </c>
      <c r="T224" s="26" t="inlineStr">
        <is>
          <t>595×845×300</t>
        </is>
      </c>
      <c r="U224" s="20" t="n"/>
    </row>
    <row r="225">
      <c r="B225" s="23" t="inlineStr">
        <is>
          <t>FTHF71ZVLT</t>
        </is>
      </c>
      <c r="C225" s="215" t="n">
        <v>7.2</v>
      </c>
      <c r="D225" s="23" t="inlineStr">
        <is>
          <t>壁掛式</t>
        </is>
      </c>
      <c r="E225" s="26" t="inlineStr">
        <is>
          <t>-</t>
        </is>
      </c>
      <c r="F225" s="26" t="inlineStr">
        <is>
          <t>室外機供電</t>
        </is>
      </c>
      <c r="G225" s="26" t="inlineStr">
        <is>
          <t>-</t>
        </is>
      </c>
      <c r="H225" s="26" t="inlineStr">
        <is>
          <t>-</t>
        </is>
      </c>
      <c r="J225" s="26" t="inlineStr">
        <is>
          <t>295×990×281</t>
        </is>
      </c>
      <c r="M225" s="23" t="inlineStr">
        <is>
          <t>RHF71ZVLT</t>
        </is>
      </c>
      <c r="N225" s="23" t="inlineStr">
        <is>
          <t>匹配室內機能力</t>
        </is>
      </c>
      <c r="O225" s="26" t="inlineStr">
        <is>
          <t>-</t>
        </is>
      </c>
      <c r="P225" s="26" t="n">
        <v>2.15</v>
      </c>
      <c r="Q225" s="26" t="inlineStr">
        <is>
          <t>單相/220V/60Hz</t>
        </is>
      </c>
      <c r="R225" s="26" t="n">
        <v>10</v>
      </c>
      <c r="S225" s="26" t="n">
        <v>15</v>
      </c>
      <c r="T225" s="26" t="inlineStr">
        <is>
          <t>595×845×300</t>
        </is>
      </c>
      <c r="U225" s="20" t="n"/>
    </row>
    <row r="226">
      <c r="B226" s="38" t="n"/>
      <c r="C226" s="218" t="n"/>
      <c r="D226" s="38" t="n"/>
    </row>
    <row r="227">
      <c r="B227" s="40" t="inlineStr">
        <is>
          <t>隱藏風管</t>
        </is>
      </c>
      <c r="C227" s="215" t="n"/>
      <c r="D227" s="23" t="n"/>
      <c r="E227" s="26" t="n"/>
      <c r="F227" s="26" t="n"/>
      <c r="G227" s="26" t="n"/>
      <c r="H227" s="26" t="n"/>
      <c r="M227" s="40" t="inlineStr">
        <is>
          <t>隱藏風管</t>
        </is>
      </c>
      <c r="N227" s="23" t="n"/>
      <c r="O227" s="26" t="n"/>
      <c r="P227" s="26" t="n"/>
      <c r="Q227" s="23" t="n"/>
      <c r="R227" s="23" t="n"/>
      <c r="S227" s="38" t="n"/>
      <c r="T227" s="38" t="n"/>
    </row>
    <row r="228">
      <c r="B228" s="23" t="inlineStr">
        <is>
          <t>FDXV22RVLT</t>
        </is>
      </c>
      <c r="C228" s="215" t="n">
        <v>2.2</v>
      </c>
      <c r="D228" s="23" t="inlineStr">
        <is>
          <t>吊隱式</t>
        </is>
      </c>
      <c r="E228" s="26" t="inlineStr">
        <is>
          <t>-</t>
        </is>
      </c>
      <c r="F228" s="26" t="inlineStr">
        <is>
          <t>室外機供電</t>
        </is>
      </c>
      <c r="G228" s="26" t="inlineStr">
        <is>
          <t>-</t>
        </is>
      </c>
      <c r="H228" s="26" t="inlineStr">
        <is>
          <t>-</t>
        </is>
      </c>
      <c r="J228" s="26" t="inlineStr">
        <is>
          <t>200×700×620</t>
        </is>
      </c>
      <c r="M228" s="23" t="inlineStr">
        <is>
          <t>RXM22ZVLT</t>
        </is>
      </c>
      <c r="N228" s="23" t="inlineStr">
        <is>
          <t>匹配室內機能力</t>
        </is>
      </c>
      <c r="O228" s="26" t="inlineStr">
        <is>
          <t>-</t>
        </is>
      </c>
      <c r="P228" s="26" t="n">
        <v>0.59</v>
      </c>
      <c r="Q228" s="26" t="inlineStr">
        <is>
          <t>單相/220V/60Hz</t>
        </is>
      </c>
      <c r="R228" s="45" t="n">
        <v>2.2</v>
      </c>
      <c r="S228" s="46" t="n">
        <v>10</v>
      </c>
      <c r="T228" s="26" t="inlineStr">
        <is>
          <t>550×675×284</t>
        </is>
      </c>
    </row>
    <row r="229">
      <c r="B229" s="23" t="inlineStr">
        <is>
          <t>FDXV28RVLT</t>
        </is>
      </c>
      <c r="C229" s="215" t="n">
        <v>2.8</v>
      </c>
      <c r="D229" s="23" t="inlineStr">
        <is>
          <t>吊隱式</t>
        </is>
      </c>
      <c r="E229" s="26" t="inlineStr">
        <is>
          <t>-</t>
        </is>
      </c>
      <c r="F229" s="26" t="inlineStr">
        <is>
          <t>室外機供電</t>
        </is>
      </c>
      <c r="G229" s="26" t="inlineStr">
        <is>
          <t>-</t>
        </is>
      </c>
      <c r="H229" s="26" t="inlineStr">
        <is>
          <t>-</t>
        </is>
      </c>
      <c r="J229" s="26" t="inlineStr">
        <is>
          <t>200×700×620</t>
        </is>
      </c>
      <c r="M229" s="23" t="inlineStr">
        <is>
          <t>RXM28ZVLT</t>
        </is>
      </c>
      <c r="N229" s="23" t="inlineStr">
        <is>
          <t>匹配室內機能力</t>
        </is>
      </c>
      <c r="O229" s="26" t="inlineStr">
        <is>
          <t>-</t>
        </is>
      </c>
      <c r="P229" s="26" t="n">
        <v>0.84</v>
      </c>
      <c r="Q229" s="26" t="inlineStr">
        <is>
          <t>單相/220V/60Hz</t>
        </is>
      </c>
      <c r="R229" s="45" t="n">
        <v>2.9</v>
      </c>
      <c r="S229" s="46" t="n">
        <v>10</v>
      </c>
      <c r="T229" s="26" t="inlineStr">
        <is>
          <t>550×675×284</t>
        </is>
      </c>
    </row>
    <row r="230">
      <c r="B230" s="23" t="inlineStr">
        <is>
          <t>FDXV36RVLT</t>
        </is>
      </c>
      <c r="C230" s="215" t="n">
        <v>3.5</v>
      </c>
      <c r="D230" s="23" t="inlineStr">
        <is>
          <t>吊隱式</t>
        </is>
      </c>
      <c r="E230" s="26" t="inlineStr">
        <is>
          <t>-</t>
        </is>
      </c>
      <c r="F230" s="26" t="inlineStr">
        <is>
          <t>室外機供電</t>
        </is>
      </c>
      <c r="G230" s="26" t="inlineStr">
        <is>
          <t>-</t>
        </is>
      </c>
      <c r="H230" s="26" t="inlineStr">
        <is>
          <t>-</t>
        </is>
      </c>
      <c r="J230" s="26" t="inlineStr">
        <is>
          <t>200×700×620</t>
        </is>
      </c>
      <c r="M230" s="23" t="inlineStr">
        <is>
          <t>RXM36ZVLT</t>
        </is>
      </c>
      <c r="N230" s="23" t="inlineStr">
        <is>
          <t>匹配室內機能力</t>
        </is>
      </c>
      <c r="O230" s="26" t="inlineStr">
        <is>
          <t>-</t>
        </is>
      </c>
      <c r="P230" s="26" t="n">
        <v>1.18</v>
      </c>
      <c r="Q230" s="26" t="inlineStr">
        <is>
          <t>單相/220V/60Hz</t>
        </is>
      </c>
      <c r="R230" s="45" t="n">
        <v>3.8</v>
      </c>
      <c r="S230" s="46" t="n">
        <v>10</v>
      </c>
      <c r="T230" s="26" t="inlineStr">
        <is>
          <t>595×845×300</t>
        </is>
      </c>
    </row>
    <row r="231">
      <c r="B231" s="23" t="inlineStr">
        <is>
          <t>FDXV41RVLT</t>
        </is>
      </c>
      <c r="C231" s="215" t="n">
        <v>4.1</v>
      </c>
      <c r="D231" s="23" t="inlineStr">
        <is>
          <t>吊隱式</t>
        </is>
      </c>
      <c r="E231" s="26" t="inlineStr">
        <is>
          <t>-</t>
        </is>
      </c>
      <c r="F231" s="26" t="inlineStr">
        <is>
          <t>室外機供電</t>
        </is>
      </c>
      <c r="G231" s="26" t="inlineStr">
        <is>
          <t>-</t>
        </is>
      </c>
      <c r="H231" s="26" t="inlineStr">
        <is>
          <t>-</t>
        </is>
      </c>
      <c r="J231" s="26" t="inlineStr">
        <is>
          <t>200×900×620</t>
        </is>
      </c>
      <c r="M231" s="23" t="inlineStr">
        <is>
          <t>RXM41ZVLT</t>
        </is>
      </c>
      <c r="N231" s="23" t="inlineStr">
        <is>
          <t>匹配室內機能力</t>
        </is>
      </c>
      <c r="O231" s="26" t="inlineStr">
        <is>
          <t>-</t>
        </is>
      </c>
      <c r="P231" s="26" t="n">
        <v>1.26</v>
      </c>
      <c r="Q231" s="26" t="inlineStr">
        <is>
          <t>單相/220V/60Hz</t>
        </is>
      </c>
      <c r="R231" s="45" t="n">
        <v>4.7</v>
      </c>
      <c r="S231" s="46" t="n">
        <v>15</v>
      </c>
      <c r="T231" s="26" t="inlineStr">
        <is>
          <t>595×845×300</t>
        </is>
      </c>
    </row>
    <row r="232">
      <c r="B232" s="23" t="inlineStr">
        <is>
          <t>FDXV50RVLT</t>
        </is>
      </c>
      <c r="C232" s="215" t="n">
        <v>5</v>
      </c>
      <c r="D232" s="23" t="inlineStr">
        <is>
          <t>吊隱式</t>
        </is>
      </c>
      <c r="E232" s="26" t="inlineStr">
        <is>
          <t>-</t>
        </is>
      </c>
      <c r="F232" s="26" t="inlineStr">
        <is>
          <t>室外機供電</t>
        </is>
      </c>
      <c r="G232" s="26" t="inlineStr">
        <is>
          <t>-</t>
        </is>
      </c>
      <c r="H232" s="26" t="inlineStr">
        <is>
          <t>-</t>
        </is>
      </c>
      <c r="J232" s="26" t="inlineStr">
        <is>
          <t>200×900×620</t>
        </is>
      </c>
      <c r="M232" s="23" t="inlineStr">
        <is>
          <t>RXM50ZVLT</t>
        </is>
      </c>
      <c r="N232" s="23" t="inlineStr">
        <is>
          <t>匹配室內機能力</t>
        </is>
      </c>
      <c r="O232" s="26" t="inlineStr">
        <is>
          <t>-</t>
        </is>
      </c>
      <c r="P232" s="26" t="n">
        <v>1.77</v>
      </c>
      <c r="Q232" s="26" t="inlineStr">
        <is>
          <t>單相/220V/60Hz</t>
        </is>
      </c>
      <c r="R232" s="45" t="n">
        <v>6.3</v>
      </c>
      <c r="S232" s="46" t="n">
        <v>15</v>
      </c>
      <c r="T232" s="26" t="inlineStr">
        <is>
          <t>595×845×300</t>
        </is>
      </c>
    </row>
    <row r="233">
      <c r="B233" s="23" t="inlineStr">
        <is>
          <t>FDXV60RVLT</t>
        </is>
      </c>
      <c r="C233" s="215" t="n">
        <v>6</v>
      </c>
      <c r="D233" s="23" t="inlineStr">
        <is>
          <t>吊隱式</t>
        </is>
      </c>
      <c r="E233" s="26" t="inlineStr">
        <is>
          <t>-</t>
        </is>
      </c>
      <c r="F233" s="26" t="inlineStr">
        <is>
          <t>室外機供電</t>
        </is>
      </c>
      <c r="G233" s="26" t="inlineStr">
        <is>
          <t>-</t>
        </is>
      </c>
      <c r="H233" s="26" t="inlineStr">
        <is>
          <t>-</t>
        </is>
      </c>
      <c r="J233" s="26" t="inlineStr">
        <is>
          <t>200×1100×620</t>
        </is>
      </c>
      <c r="M233" s="23" t="inlineStr">
        <is>
          <t>RXM60ZVLT</t>
        </is>
      </c>
      <c r="N233" s="23" t="inlineStr">
        <is>
          <t>匹配室內機能力</t>
        </is>
      </c>
      <c r="O233" s="26" t="inlineStr">
        <is>
          <t>-</t>
        </is>
      </c>
      <c r="P233" s="26" t="n">
        <v>1.98</v>
      </c>
      <c r="Q233" s="26" t="inlineStr">
        <is>
          <t>單相/220V/60Hz</t>
        </is>
      </c>
      <c r="R233" s="45" t="n">
        <v>7.5</v>
      </c>
      <c r="S233" s="46" t="n">
        <v>15</v>
      </c>
      <c r="T233" s="26" t="inlineStr">
        <is>
          <t>695×930×350</t>
        </is>
      </c>
    </row>
    <row r="234">
      <c r="B234" s="23" t="inlineStr">
        <is>
          <t>FDXV71RVLT</t>
        </is>
      </c>
      <c r="C234" s="215" t="n">
        <v>7.2</v>
      </c>
      <c r="D234" s="23" t="inlineStr">
        <is>
          <t>吊隱式</t>
        </is>
      </c>
      <c r="E234" s="26" t="inlineStr">
        <is>
          <t>-</t>
        </is>
      </c>
      <c r="F234" s="26" t="inlineStr">
        <is>
          <t>室外機供電</t>
        </is>
      </c>
      <c r="G234" s="26" t="inlineStr">
        <is>
          <t>-</t>
        </is>
      </c>
      <c r="H234" s="26" t="inlineStr">
        <is>
          <t>-</t>
        </is>
      </c>
      <c r="J234" s="26" t="inlineStr">
        <is>
          <t>200×1100×620</t>
        </is>
      </c>
      <c r="M234" s="23" t="inlineStr">
        <is>
          <t>RXM71ZVLT</t>
        </is>
      </c>
      <c r="N234" s="23" t="inlineStr">
        <is>
          <t>匹配室內機能力</t>
        </is>
      </c>
      <c r="O234" s="26" t="inlineStr">
        <is>
          <t>-</t>
        </is>
      </c>
      <c r="P234" s="26" t="n">
        <v>2.76</v>
      </c>
      <c r="Q234" s="26" t="inlineStr">
        <is>
          <t>單相/220V/60Hz</t>
        </is>
      </c>
      <c r="R234" s="45" t="n">
        <v>9.800000000000001</v>
      </c>
      <c r="S234" s="46" t="n">
        <v>15</v>
      </c>
      <c r="T234" s="26" t="inlineStr">
        <is>
          <t>695×930×350</t>
        </is>
      </c>
      <c r="U234" s="20" t="n"/>
    </row>
    <row r="235">
      <c r="B235" s="38" t="n"/>
      <c r="C235" s="218" t="n"/>
      <c r="D235" s="38" t="n"/>
      <c r="U235" s="20" t="n"/>
    </row>
    <row r="236">
      <c r="B236" s="40" t="inlineStr">
        <is>
          <t>家用多聯式</t>
        </is>
      </c>
      <c r="C236" s="215" t="n"/>
      <c r="D236" s="23" t="n"/>
      <c r="E236" s="26" t="n"/>
      <c r="F236" s="26" t="n"/>
      <c r="G236" s="26" t="n"/>
      <c r="H236" s="26" t="n"/>
      <c r="M236" s="40" t="inlineStr">
        <is>
          <t>家用多聯式</t>
        </is>
      </c>
      <c r="N236" s="23" t="n"/>
      <c r="O236" s="26" t="n"/>
      <c r="P236" s="26" t="n"/>
      <c r="Q236" s="23" t="n"/>
      <c r="R236" s="23" t="n"/>
      <c r="S236" s="38" t="n"/>
      <c r="T236" s="38" t="n"/>
      <c r="U236" s="20" t="n"/>
    </row>
    <row r="237">
      <c r="B237" s="23" t="inlineStr">
        <is>
          <t>FTXM22YVLT</t>
        </is>
      </c>
      <c r="C237" s="23" t="n">
        <v>2.2</v>
      </c>
      <c r="D237" s="23" t="inlineStr">
        <is>
          <t>壁掛式</t>
        </is>
      </c>
      <c r="E237" s="26" t="inlineStr">
        <is>
          <t>-</t>
        </is>
      </c>
      <c r="F237" s="26" t="inlineStr">
        <is>
          <t>室外機供電</t>
        </is>
      </c>
      <c r="G237" s="26" t="inlineStr">
        <is>
          <t>-</t>
        </is>
      </c>
      <c r="H237" s="26" t="inlineStr">
        <is>
          <t>-</t>
        </is>
      </c>
      <c r="J237" s="26" t="inlineStr">
        <is>
          <t>299×920×275</t>
        </is>
      </c>
      <c r="M237" s="23" t="inlineStr">
        <is>
          <t>2MXM56YVLT</t>
        </is>
      </c>
      <c r="N237" s="23" t="inlineStr">
        <is>
          <t>額定5.6</t>
        </is>
      </c>
      <c r="O237" s="26" t="inlineStr">
        <is>
          <t>-</t>
        </is>
      </c>
      <c r="P237" s="23" t="inlineStr">
        <is>
          <t>依室內機搭配而不同</t>
        </is>
      </c>
      <c r="Q237" s="26" t="inlineStr">
        <is>
          <t>單相/220V/60Hz</t>
        </is>
      </c>
      <c r="R237" s="26" t="inlineStr">
        <is>
          <t>1.5-10.5</t>
        </is>
      </c>
      <c r="S237" s="26" t="n">
        <v>20</v>
      </c>
      <c r="T237" s="26" t="inlineStr">
        <is>
          <t>695×930×350</t>
        </is>
      </c>
      <c r="U237" s="20" t="n"/>
    </row>
    <row r="238">
      <c r="B238" s="23" t="inlineStr">
        <is>
          <t>FTXM28YVLT</t>
        </is>
      </c>
      <c r="C238" s="23" t="n">
        <v>2.8</v>
      </c>
      <c r="D238" s="23" t="inlineStr">
        <is>
          <t>壁掛式</t>
        </is>
      </c>
      <c r="E238" s="26" t="inlineStr">
        <is>
          <t>-</t>
        </is>
      </c>
      <c r="F238" s="26" t="inlineStr">
        <is>
          <t>室外機供電</t>
        </is>
      </c>
      <c r="G238" s="26" t="inlineStr">
        <is>
          <t>-</t>
        </is>
      </c>
      <c r="H238" s="26" t="inlineStr">
        <is>
          <t>-</t>
        </is>
      </c>
      <c r="J238" s="26" t="inlineStr">
        <is>
          <t>299×920×275</t>
        </is>
      </c>
      <c r="M238" s="23" t="inlineStr">
        <is>
          <t>2MXM75YVLT</t>
        </is>
      </c>
      <c r="N238" s="23" t="inlineStr">
        <is>
          <t>額定7.2</t>
        </is>
      </c>
      <c r="O238" s="26" t="inlineStr">
        <is>
          <t>-</t>
        </is>
      </c>
      <c r="P238" s="23" t="inlineStr">
        <is>
          <t>依室內機搭配而不同</t>
        </is>
      </c>
      <c r="Q238" s="26" t="inlineStr">
        <is>
          <t>單相/220V/60Hz</t>
        </is>
      </c>
      <c r="R238" s="26" t="inlineStr">
        <is>
          <t>1.5-13.7</t>
        </is>
      </c>
      <c r="S238" s="26" t="n">
        <v>20</v>
      </c>
      <c r="T238" s="26" t="inlineStr">
        <is>
          <t>695×930×350</t>
        </is>
      </c>
      <c r="U238" s="20" t="n"/>
    </row>
    <row r="239">
      <c r="B239" s="23" t="inlineStr">
        <is>
          <t>FTXM36YVLT</t>
        </is>
      </c>
      <c r="C239" s="23" t="n">
        <v>3.6</v>
      </c>
      <c r="D239" s="23" t="inlineStr">
        <is>
          <t>壁掛式</t>
        </is>
      </c>
      <c r="E239" s="26" t="inlineStr">
        <is>
          <t>-</t>
        </is>
      </c>
      <c r="F239" s="26" t="inlineStr">
        <is>
          <t>室外機供電</t>
        </is>
      </c>
      <c r="G239" s="26" t="inlineStr">
        <is>
          <t>-</t>
        </is>
      </c>
      <c r="H239" s="26" t="inlineStr">
        <is>
          <t>-</t>
        </is>
      </c>
      <c r="J239" s="26" t="inlineStr">
        <is>
          <t>299×920×275</t>
        </is>
      </c>
      <c r="M239" s="23" t="inlineStr">
        <is>
          <t>3MXM90YVLT</t>
        </is>
      </c>
      <c r="N239" s="23" t="inlineStr">
        <is>
          <t>額定8.5</t>
        </is>
      </c>
      <c r="O239" s="26" t="inlineStr">
        <is>
          <t>-</t>
        </is>
      </c>
      <c r="P239" s="23" t="inlineStr">
        <is>
          <t>依室內機搭配而不同</t>
        </is>
      </c>
      <c r="Q239" s="26" t="inlineStr">
        <is>
          <t>單相/220V/60Hz</t>
        </is>
      </c>
      <c r="R239" s="26" t="inlineStr">
        <is>
          <t>1.5-14.1</t>
        </is>
      </c>
      <c r="S239" s="26" t="n">
        <v>20</v>
      </c>
      <c r="T239" s="26" t="inlineStr">
        <is>
          <t>695×930×350</t>
        </is>
      </c>
      <c r="U239" s="20" t="n"/>
    </row>
    <row r="240">
      <c r="B240" s="23" t="inlineStr">
        <is>
          <t>FTXM41YVLT</t>
        </is>
      </c>
      <c r="C240" s="23" t="n">
        <v>4.1</v>
      </c>
      <c r="D240" s="23" t="inlineStr">
        <is>
          <t>壁掛式</t>
        </is>
      </c>
      <c r="E240" s="26" t="inlineStr">
        <is>
          <t>-</t>
        </is>
      </c>
      <c r="F240" s="26" t="inlineStr">
        <is>
          <t>室外機供電</t>
        </is>
      </c>
      <c r="G240" s="26" t="inlineStr">
        <is>
          <t>-</t>
        </is>
      </c>
      <c r="H240" s="26" t="inlineStr">
        <is>
          <t>-</t>
        </is>
      </c>
      <c r="J240" s="26" t="inlineStr">
        <is>
          <t>299×1100×275</t>
        </is>
      </c>
      <c r="M240" s="23" t="inlineStr">
        <is>
          <t>4MXM110YVLT</t>
        </is>
      </c>
      <c r="N240" s="23" t="inlineStr">
        <is>
          <t>額定10.5</t>
        </is>
      </c>
      <c r="O240" s="26" t="inlineStr">
        <is>
          <t>-</t>
        </is>
      </c>
      <c r="P240" s="23" t="inlineStr">
        <is>
          <t>依室內機搭配而不同</t>
        </is>
      </c>
      <c r="Q240" s="26" t="inlineStr">
        <is>
          <t>單相/220V/60Hz</t>
        </is>
      </c>
      <c r="R240" s="26" t="inlineStr">
        <is>
          <t>2.7-16.8</t>
        </is>
      </c>
      <c r="S240" s="26" t="n">
        <v>30</v>
      </c>
      <c r="T240" s="26" t="inlineStr">
        <is>
          <t>990×940×320</t>
        </is>
      </c>
      <c r="U240" s="20" t="n"/>
    </row>
    <row r="241">
      <c r="B241" s="23" t="inlineStr">
        <is>
          <t>FTXM50YVLT</t>
        </is>
      </c>
      <c r="C241" s="23" t="n">
        <v>5</v>
      </c>
      <c r="D241" s="23" t="inlineStr">
        <is>
          <t>壁掛式</t>
        </is>
      </c>
      <c r="E241" s="26" t="inlineStr">
        <is>
          <t>-</t>
        </is>
      </c>
      <c r="F241" s="26" t="inlineStr">
        <is>
          <t>室外機供電</t>
        </is>
      </c>
      <c r="G241" s="26" t="inlineStr">
        <is>
          <t>-</t>
        </is>
      </c>
      <c r="H241" s="26" t="inlineStr">
        <is>
          <t>-</t>
        </is>
      </c>
      <c r="J241" s="26" t="inlineStr">
        <is>
          <t>299×1100×275</t>
        </is>
      </c>
      <c r="U241" s="20" t="n"/>
    </row>
    <row r="242">
      <c r="B242" s="23" t="inlineStr">
        <is>
          <t>FTXM60YVLT</t>
        </is>
      </c>
      <c r="C242" s="23" t="n">
        <v>6</v>
      </c>
      <c r="D242" s="23" t="inlineStr">
        <is>
          <t>壁掛式</t>
        </is>
      </c>
      <c r="E242" s="26" t="inlineStr">
        <is>
          <t>-</t>
        </is>
      </c>
      <c r="F242" s="26" t="inlineStr">
        <is>
          <t>室外機供電</t>
        </is>
      </c>
      <c r="G242" s="26" t="inlineStr">
        <is>
          <t>-</t>
        </is>
      </c>
      <c r="H242" s="26" t="inlineStr">
        <is>
          <t>-</t>
        </is>
      </c>
      <c r="J242" s="26" t="inlineStr">
        <is>
          <t>299×1100×275</t>
        </is>
      </c>
      <c r="M242" s="40" t="inlineStr">
        <is>
          <t>SMART MULTi</t>
        </is>
      </c>
      <c r="N242" s="23" t="n"/>
      <c r="O242" s="26" t="inlineStr">
        <is>
          <t>-</t>
        </is>
      </c>
      <c r="P242" s="26" t="n"/>
      <c r="Q242" s="23" t="n"/>
      <c r="R242" s="23" t="n"/>
      <c r="S242" s="38" t="n"/>
      <c r="T242" s="38" t="n"/>
      <c r="U242" s="20" t="n"/>
    </row>
    <row r="243">
      <c r="B243" s="23" t="inlineStr">
        <is>
          <t>FTXM71TVLT</t>
        </is>
      </c>
      <c r="C243" s="23" t="n">
        <v>7.1</v>
      </c>
      <c r="D243" s="23" t="inlineStr">
        <is>
          <t>壁掛式</t>
        </is>
      </c>
      <c r="E243" s="26" t="inlineStr">
        <is>
          <t>-</t>
        </is>
      </c>
      <c r="F243" s="26" t="inlineStr">
        <is>
          <t>室外機供電</t>
        </is>
      </c>
      <c r="G243" s="26" t="inlineStr">
        <is>
          <t>-</t>
        </is>
      </c>
      <c r="H243" s="26" t="inlineStr">
        <is>
          <t>-</t>
        </is>
      </c>
      <c r="J243" s="26" t="inlineStr">
        <is>
          <t>299×1100×275</t>
        </is>
      </c>
      <c r="M243" s="23" t="inlineStr">
        <is>
          <t>2MXP50ZVLT</t>
        </is>
      </c>
      <c r="N243" s="23" t="inlineStr">
        <is>
          <t>額定5.0</t>
        </is>
      </c>
      <c r="O243" s="26" t="inlineStr">
        <is>
          <t>-</t>
        </is>
      </c>
      <c r="P243" s="23" t="inlineStr">
        <is>
          <t>依室內機搭配而不同</t>
        </is>
      </c>
      <c r="Q243" s="26" t="inlineStr">
        <is>
          <t>單相/220V/60Hz</t>
        </is>
      </c>
      <c r="R243" s="26" t="inlineStr">
        <is>
          <t>0.9~8.4</t>
        </is>
      </c>
      <c r="S243" s="26" t="n">
        <v>10</v>
      </c>
      <c r="T243" s="26" t="inlineStr">
        <is>
          <t>550×675×284</t>
        </is>
      </c>
      <c r="U243" s="20" t="n"/>
    </row>
    <row r="244">
      <c r="B244" s="23" t="inlineStr">
        <is>
          <t>FTXM80RVLT</t>
        </is>
      </c>
      <c r="C244" s="23" t="n">
        <v>8</v>
      </c>
      <c r="D244" s="23" t="inlineStr">
        <is>
          <t>壁掛式</t>
        </is>
      </c>
      <c r="E244" s="26" t="inlineStr">
        <is>
          <t>-</t>
        </is>
      </c>
      <c r="F244" s="26" t="inlineStr">
        <is>
          <t>室外機供電</t>
        </is>
      </c>
      <c r="G244" s="26" t="inlineStr">
        <is>
          <t>-</t>
        </is>
      </c>
      <c r="H244" s="26" t="inlineStr">
        <is>
          <t>-</t>
        </is>
      </c>
      <c r="J244" s="26" t="inlineStr">
        <is>
          <t>340×1200×259</t>
        </is>
      </c>
      <c r="M244" s="23" t="inlineStr">
        <is>
          <t>2MXP85ZVLT</t>
        </is>
      </c>
      <c r="N244" s="23" t="inlineStr">
        <is>
          <t>額定8.5</t>
        </is>
      </c>
      <c r="O244" s="26" t="inlineStr">
        <is>
          <t>-</t>
        </is>
      </c>
      <c r="P244" s="23" t="inlineStr">
        <is>
          <t>依室內機搭配而不同</t>
        </is>
      </c>
      <c r="Q244" s="26" t="inlineStr">
        <is>
          <t>單相/220V/60Hz</t>
        </is>
      </c>
      <c r="R244" s="26" t="inlineStr">
        <is>
          <t>1.5~14.2</t>
        </is>
      </c>
      <c r="S244" s="26" t="n">
        <v>20</v>
      </c>
      <c r="T244" s="26" t="inlineStr">
        <is>
          <t>695×930×350</t>
        </is>
      </c>
      <c r="U244" s="20" t="n"/>
    </row>
    <row r="245">
      <c r="B245" s="23" t="inlineStr">
        <is>
          <t>FTXM90RVLT</t>
        </is>
      </c>
      <c r="C245" s="23" t="n">
        <v>9</v>
      </c>
      <c r="D245" s="23" t="inlineStr">
        <is>
          <t>壁掛式</t>
        </is>
      </c>
      <c r="E245" s="26" t="inlineStr">
        <is>
          <t>-</t>
        </is>
      </c>
      <c r="F245" s="26" t="inlineStr">
        <is>
          <t>室外機供電</t>
        </is>
      </c>
      <c r="G245" s="26" t="inlineStr">
        <is>
          <t>-</t>
        </is>
      </c>
      <c r="H245" s="26" t="inlineStr">
        <is>
          <t>-</t>
        </is>
      </c>
      <c r="J245" s="26" t="inlineStr">
        <is>
          <t>340×1200×259</t>
        </is>
      </c>
      <c r="M245" s="38" t="n"/>
      <c r="N245" s="38" t="n"/>
      <c r="P245" s="38" t="n"/>
      <c r="U245" s="20" t="n"/>
    </row>
    <row r="246">
      <c r="B246" s="23" t="inlineStr">
        <is>
          <t>FDXV22RVLT</t>
        </is>
      </c>
      <c r="C246" s="23" t="n">
        <v>2.2</v>
      </c>
      <c r="D246" s="23" t="inlineStr">
        <is>
          <t>吊隱式</t>
        </is>
      </c>
      <c r="E246" s="26" t="inlineStr">
        <is>
          <t>-</t>
        </is>
      </c>
      <c r="F246" s="26" t="inlineStr">
        <is>
          <t>室外機供電</t>
        </is>
      </c>
      <c r="G246" s="26" t="inlineStr">
        <is>
          <t>-</t>
        </is>
      </c>
      <c r="H246" s="26" t="inlineStr">
        <is>
          <t>-</t>
        </is>
      </c>
      <c r="J246" s="26" t="inlineStr">
        <is>
          <t>200×700×620</t>
        </is>
      </c>
      <c r="M246" s="38" t="n"/>
      <c r="N246" s="38" t="n"/>
      <c r="P246" s="38" t="n"/>
    </row>
    <row r="247">
      <c r="B247" s="23" t="inlineStr">
        <is>
          <t>FDXV28RVLT</t>
        </is>
      </c>
      <c r="C247" s="23" t="n">
        <v>2.8</v>
      </c>
      <c r="D247" s="23" t="inlineStr">
        <is>
          <t>吊隱式</t>
        </is>
      </c>
      <c r="E247" s="26" t="inlineStr">
        <is>
          <t>-</t>
        </is>
      </c>
      <c r="F247" s="26" t="inlineStr">
        <is>
          <t>室外機供電</t>
        </is>
      </c>
      <c r="G247" s="26" t="inlineStr">
        <is>
          <t>-</t>
        </is>
      </c>
      <c r="H247" s="26" t="inlineStr">
        <is>
          <t>-</t>
        </is>
      </c>
      <c r="J247" s="26" t="inlineStr">
        <is>
          <t>200×700×620</t>
        </is>
      </c>
      <c r="M247" s="38" t="n"/>
      <c r="N247" s="38" t="n"/>
      <c r="P247" s="38" t="n"/>
    </row>
    <row r="248">
      <c r="B248" s="23" t="inlineStr">
        <is>
          <t>FDXV36RVLT</t>
        </is>
      </c>
      <c r="C248" s="23" t="n">
        <v>3.6</v>
      </c>
      <c r="D248" s="23" t="inlineStr">
        <is>
          <t>吊隱式</t>
        </is>
      </c>
      <c r="E248" s="26" t="inlineStr">
        <is>
          <t>-</t>
        </is>
      </c>
      <c r="F248" s="26" t="inlineStr">
        <is>
          <t>室外機供電</t>
        </is>
      </c>
      <c r="G248" s="26" t="inlineStr">
        <is>
          <t>-</t>
        </is>
      </c>
      <c r="H248" s="26" t="inlineStr">
        <is>
          <t>-</t>
        </is>
      </c>
      <c r="J248" s="26" t="inlineStr">
        <is>
          <t>200×700×620</t>
        </is>
      </c>
      <c r="M248" s="38" t="n"/>
      <c r="N248" s="38" t="n"/>
      <c r="P248" s="38" t="n"/>
    </row>
    <row r="249">
      <c r="B249" s="23" t="inlineStr">
        <is>
          <t>FDXV41RVLT</t>
        </is>
      </c>
      <c r="C249" s="23" t="n">
        <v>4.1</v>
      </c>
      <c r="D249" s="23" t="inlineStr">
        <is>
          <t>吊隱式</t>
        </is>
      </c>
      <c r="E249" s="26" t="inlineStr">
        <is>
          <t>-</t>
        </is>
      </c>
      <c r="F249" s="26" t="inlineStr">
        <is>
          <t>室外機供電</t>
        </is>
      </c>
      <c r="G249" s="26" t="inlineStr">
        <is>
          <t>-</t>
        </is>
      </c>
      <c r="H249" s="26" t="inlineStr">
        <is>
          <t>-</t>
        </is>
      </c>
      <c r="J249" s="26" t="inlineStr">
        <is>
          <t>200×900×620</t>
        </is>
      </c>
      <c r="M249" s="38" t="n"/>
      <c r="N249" s="38" t="n"/>
      <c r="P249" s="38" t="n"/>
    </row>
    <row r="250">
      <c r="B250" s="23" t="inlineStr">
        <is>
          <t>FDXV50RVLT</t>
        </is>
      </c>
      <c r="C250" s="23" t="n">
        <v>5</v>
      </c>
      <c r="D250" s="23" t="inlineStr">
        <is>
          <t>吊隱式</t>
        </is>
      </c>
      <c r="E250" s="26" t="inlineStr">
        <is>
          <t>-</t>
        </is>
      </c>
      <c r="F250" s="26" t="inlineStr">
        <is>
          <t>室外機供電</t>
        </is>
      </c>
      <c r="G250" s="26" t="inlineStr">
        <is>
          <t>-</t>
        </is>
      </c>
      <c r="H250" s="26" t="inlineStr">
        <is>
          <t>-</t>
        </is>
      </c>
      <c r="J250" s="26" t="inlineStr">
        <is>
          <t>200×900×620</t>
        </is>
      </c>
      <c r="M250" s="38" t="n"/>
      <c r="N250" s="38" t="n"/>
      <c r="P250" s="38" t="n"/>
    </row>
    <row r="251">
      <c r="B251" s="23" t="inlineStr">
        <is>
          <t>FDXV60RVLT</t>
        </is>
      </c>
      <c r="C251" s="23" t="n">
        <v>6</v>
      </c>
      <c r="D251" s="23" t="inlineStr">
        <is>
          <t>吊隱式</t>
        </is>
      </c>
      <c r="E251" s="26" t="inlineStr">
        <is>
          <t>-</t>
        </is>
      </c>
      <c r="F251" s="26" t="inlineStr">
        <is>
          <t>室外機供電</t>
        </is>
      </c>
      <c r="G251" s="26" t="inlineStr">
        <is>
          <t>-</t>
        </is>
      </c>
      <c r="H251" s="26" t="inlineStr">
        <is>
          <t>-</t>
        </is>
      </c>
      <c r="J251" s="26" t="inlineStr">
        <is>
          <t>200×1100×620</t>
        </is>
      </c>
      <c r="M251" s="38" t="n"/>
      <c r="N251" s="38" t="n"/>
      <c r="P251" s="38" t="n"/>
    </row>
    <row r="252">
      <c r="B252" s="23" t="inlineStr">
        <is>
          <t>FDXV71RVLT</t>
        </is>
      </c>
      <c r="C252" s="23" t="n">
        <v>7.1</v>
      </c>
      <c r="D252" s="23" t="inlineStr">
        <is>
          <t>吊隱式</t>
        </is>
      </c>
      <c r="E252" s="26" t="inlineStr">
        <is>
          <t>-</t>
        </is>
      </c>
      <c r="F252" s="26" t="inlineStr">
        <is>
          <t>室外機供電</t>
        </is>
      </c>
      <c r="G252" s="26" t="inlineStr">
        <is>
          <t>-</t>
        </is>
      </c>
      <c r="H252" s="26" t="inlineStr">
        <is>
          <t>-</t>
        </is>
      </c>
      <c r="J252" s="26" t="inlineStr">
        <is>
          <t>200×1100×620</t>
        </is>
      </c>
      <c r="M252" s="38" t="n"/>
      <c r="N252" s="38" t="n"/>
      <c r="P252" s="38" t="n"/>
    </row>
    <row r="253">
      <c r="M253" s="38" t="n"/>
      <c r="N253" s="38" t="n"/>
      <c r="P253" s="38" t="n"/>
    </row>
    <row r="254">
      <c r="B254" s="40" t="inlineStr">
        <is>
          <t>SMART MULTi</t>
        </is>
      </c>
      <c r="C254" s="215" t="n"/>
      <c r="D254" s="23" t="n"/>
      <c r="E254" s="26" t="n"/>
      <c r="F254" s="26" t="n"/>
      <c r="G254" s="26" t="n"/>
      <c r="H254" s="26" t="n"/>
      <c r="M254" s="38" t="n"/>
      <c r="N254" s="38" t="n"/>
      <c r="P254" s="38" t="n"/>
    </row>
    <row r="255">
      <c r="B255" s="23" t="inlineStr">
        <is>
          <t>FTHF20ZVLT</t>
        </is>
      </c>
      <c r="C255" s="215" t="n">
        <v>2.2</v>
      </c>
      <c r="D255" s="23" t="inlineStr">
        <is>
          <t>壁掛式</t>
        </is>
      </c>
      <c r="E255" s="26" t="inlineStr">
        <is>
          <t>-</t>
        </is>
      </c>
      <c r="F255" s="26" t="inlineStr">
        <is>
          <t>室外機供電</t>
        </is>
      </c>
      <c r="G255" s="26" t="inlineStr">
        <is>
          <t>-</t>
        </is>
      </c>
      <c r="H255" s="26" t="inlineStr">
        <is>
          <t>-</t>
        </is>
      </c>
      <c r="J255" s="26" t="inlineStr">
        <is>
          <t>285×770×242</t>
        </is>
      </c>
      <c r="M255" s="38" t="n"/>
      <c r="N255" s="38" t="n"/>
      <c r="P255" s="38" t="n"/>
    </row>
    <row r="256">
      <c r="B256" s="23" t="inlineStr">
        <is>
          <t>FTHF25ZVLT</t>
        </is>
      </c>
      <c r="C256" s="215" t="n">
        <v>2.5</v>
      </c>
      <c r="D256" s="23" t="inlineStr">
        <is>
          <t>壁掛式</t>
        </is>
      </c>
      <c r="E256" s="26" t="inlineStr">
        <is>
          <t>-</t>
        </is>
      </c>
      <c r="F256" s="26" t="inlineStr">
        <is>
          <t>室外機供電</t>
        </is>
      </c>
      <c r="G256" s="26" t="inlineStr">
        <is>
          <t>-</t>
        </is>
      </c>
      <c r="H256" s="26" t="inlineStr">
        <is>
          <t>-</t>
        </is>
      </c>
      <c r="J256" s="26" t="inlineStr">
        <is>
          <t>285×770×242</t>
        </is>
      </c>
      <c r="M256" s="38" t="n"/>
      <c r="N256" s="38" t="n"/>
      <c r="P256" s="38" t="n"/>
    </row>
    <row r="257">
      <c r="B257" s="23" t="inlineStr">
        <is>
          <t>FTHF30ZVLT</t>
        </is>
      </c>
      <c r="C257" s="215" t="n">
        <v>3</v>
      </c>
      <c r="D257" s="23" t="inlineStr">
        <is>
          <t>壁掛式</t>
        </is>
      </c>
      <c r="E257" s="26" t="inlineStr">
        <is>
          <t>-</t>
        </is>
      </c>
      <c r="F257" s="26" t="inlineStr">
        <is>
          <t>室外機供電</t>
        </is>
      </c>
      <c r="G257" s="26" t="inlineStr">
        <is>
          <t>-</t>
        </is>
      </c>
      <c r="H257" s="26" t="inlineStr">
        <is>
          <t>-</t>
        </is>
      </c>
      <c r="J257" s="26" t="inlineStr">
        <is>
          <t>285×770×242</t>
        </is>
      </c>
      <c r="M257" s="38" t="n"/>
      <c r="N257" s="38" t="n"/>
      <c r="P257" s="38" t="n"/>
    </row>
    <row r="258">
      <c r="B258" s="23" t="inlineStr">
        <is>
          <t>FTHF40VVLT</t>
        </is>
      </c>
      <c r="C258" s="215" t="n">
        <v>4.1</v>
      </c>
      <c r="D258" s="23" t="inlineStr">
        <is>
          <t>壁掛式</t>
        </is>
      </c>
      <c r="E258" s="26" t="inlineStr">
        <is>
          <t>-</t>
        </is>
      </c>
      <c r="F258" s="26" t="inlineStr">
        <is>
          <t>室外機供電</t>
        </is>
      </c>
      <c r="G258" s="26" t="inlineStr">
        <is>
          <t>-</t>
        </is>
      </c>
      <c r="H258" s="26" t="inlineStr">
        <is>
          <t>-</t>
        </is>
      </c>
      <c r="J258" s="26" t="inlineStr">
        <is>
          <t>295×990×281</t>
        </is>
      </c>
      <c r="M258" s="38" t="n"/>
      <c r="N258" s="38" t="n"/>
      <c r="P258" s="38" t="n"/>
    </row>
    <row r="259">
      <c r="B259" s="23" t="inlineStr">
        <is>
          <t>FTHF50VVLT</t>
        </is>
      </c>
      <c r="C259" s="215" t="n">
        <v>5</v>
      </c>
      <c r="D259" s="23" t="inlineStr">
        <is>
          <t>壁掛式</t>
        </is>
      </c>
      <c r="E259" s="26" t="inlineStr">
        <is>
          <t>-</t>
        </is>
      </c>
      <c r="F259" s="26" t="inlineStr">
        <is>
          <t>室外機供電</t>
        </is>
      </c>
      <c r="G259" s="26" t="inlineStr">
        <is>
          <t>-</t>
        </is>
      </c>
      <c r="H259" s="26" t="inlineStr">
        <is>
          <t>-</t>
        </is>
      </c>
      <c r="J259" s="26" t="inlineStr">
        <is>
          <t>295×990×281</t>
        </is>
      </c>
      <c r="M259" s="38" t="n"/>
      <c r="N259" s="38" t="n"/>
      <c r="P259" s="38" t="n"/>
    </row>
    <row r="260">
      <c r="B260" s="23" t="inlineStr">
        <is>
          <t>FTHF60VVLT</t>
        </is>
      </c>
      <c r="C260" s="215" t="n">
        <v>6</v>
      </c>
      <c r="D260" s="23" t="inlineStr">
        <is>
          <t>壁掛式</t>
        </is>
      </c>
      <c r="E260" s="26" t="inlineStr">
        <is>
          <t>-</t>
        </is>
      </c>
      <c r="F260" s="26" t="inlineStr">
        <is>
          <t>室外機供電</t>
        </is>
      </c>
      <c r="G260" s="26" t="inlineStr">
        <is>
          <t>-</t>
        </is>
      </c>
      <c r="H260" s="26" t="inlineStr">
        <is>
          <t>-</t>
        </is>
      </c>
      <c r="J260" s="26" t="inlineStr">
        <is>
          <t>295×990×281</t>
        </is>
      </c>
      <c r="M260" s="38" t="n"/>
      <c r="N260" s="38" t="n"/>
      <c r="P260" s="38" t="n"/>
    </row>
    <row r="261">
      <c r="B261" s="23" t="inlineStr">
        <is>
          <t>FTHF71VVLT</t>
        </is>
      </c>
      <c r="C261" s="215" t="n">
        <v>7.2</v>
      </c>
      <c r="D261" s="23" t="inlineStr">
        <is>
          <t>壁掛式</t>
        </is>
      </c>
      <c r="E261" s="26" t="inlineStr">
        <is>
          <t>-</t>
        </is>
      </c>
      <c r="F261" s="26" t="inlineStr">
        <is>
          <t>室外機供電</t>
        </is>
      </c>
      <c r="G261" s="26" t="inlineStr">
        <is>
          <t>-</t>
        </is>
      </c>
      <c r="H261" s="26" t="inlineStr">
        <is>
          <t>-</t>
        </is>
      </c>
      <c r="J261" s="26" t="inlineStr">
        <is>
          <t>295×990×281</t>
        </is>
      </c>
      <c r="M261" s="38" t="n"/>
      <c r="N261" s="38" t="n"/>
      <c r="P261" s="38" t="n"/>
    </row>
    <row r="262">
      <c r="B262" s="38" t="n"/>
      <c r="C262" s="218" t="n"/>
      <c r="D262" s="38" t="n"/>
      <c r="M262" s="38" t="n"/>
      <c r="N262" s="38" t="n"/>
      <c r="P262" s="38" t="n"/>
    </row>
    <row r="264">
      <c r="B264" s="47" t="inlineStr">
        <is>
          <t>商用室內機</t>
        </is>
      </c>
      <c r="C264" s="48" t="n"/>
      <c r="D264" s="49" t="n"/>
      <c r="E264" s="49" t="n"/>
      <c r="F264" s="50" t="n"/>
      <c r="G264" s="50" t="n"/>
      <c r="H264" s="50" t="n"/>
      <c r="M264" s="51" t="inlineStr">
        <is>
          <t>商用室外機</t>
        </is>
      </c>
      <c r="N264" s="38" t="n"/>
      <c r="O264" s="38" t="n"/>
      <c r="P264" s="38" t="n"/>
    </row>
    <row r="265">
      <c r="B265" s="51" t="inlineStr">
        <is>
          <t>商用冷專壁掛式R32</t>
        </is>
      </c>
      <c r="C265" s="23" t="n"/>
      <c r="D265" s="23" t="n"/>
      <c r="E265" s="23" t="n"/>
      <c r="F265" s="26" t="n"/>
      <c r="G265" s="26" t="n"/>
      <c r="H265" s="26" t="n"/>
      <c r="M265" s="51" t="inlineStr">
        <is>
          <t>商用冷專壁掛式R32</t>
        </is>
      </c>
      <c r="N265" s="23" t="n"/>
      <c r="O265" s="23" t="n"/>
      <c r="P265" s="23" t="n"/>
      <c r="Q265" s="26" t="n"/>
      <c r="R265" s="26" t="n"/>
    </row>
    <row r="266">
      <c r="B266" s="26" t="inlineStr">
        <is>
          <t>FAA71XVLT</t>
        </is>
      </c>
      <c r="C266" s="23" t="n">
        <v>7.2</v>
      </c>
      <c r="D266" s="23" t="inlineStr">
        <is>
          <t>壁掛式</t>
        </is>
      </c>
      <c r="E266" s="26" t="inlineStr">
        <is>
          <t>-</t>
        </is>
      </c>
      <c r="F266" s="26" t="inlineStr">
        <is>
          <t>室外機供電</t>
        </is>
      </c>
      <c r="G266" s="26" t="inlineStr">
        <is>
          <t>-</t>
        </is>
      </c>
      <c r="H266" s="26" t="inlineStr">
        <is>
          <t>-</t>
        </is>
      </c>
      <c r="J266" s="26" t="inlineStr">
        <is>
          <t>595 × 845 × 300</t>
        </is>
      </c>
      <c r="M266" s="26" t="inlineStr">
        <is>
          <t>RKF71XVLT-壁掛式</t>
        </is>
      </c>
      <c r="N266" s="23" t="n">
        <v>7.2</v>
      </c>
      <c r="O266" s="26" t="inlineStr">
        <is>
          <t>-</t>
        </is>
      </c>
      <c r="P266" s="26" t="n">
        <v>2.23</v>
      </c>
      <c r="Q266" s="26" t="inlineStr">
        <is>
          <t>單相/220V/60Hz</t>
        </is>
      </c>
      <c r="R266" s="26" t="n">
        <v>10.2</v>
      </c>
      <c r="S266" s="26" t="n">
        <v>15</v>
      </c>
      <c r="T266" s="26" t="inlineStr">
        <is>
          <t>595×845×300</t>
        </is>
      </c>
    </row>
    <row r="267">
      <c r="B267" s="26" t="inlineStr">
        <is>
          <t>FAA100XVLT</t>
        </is>
      </c>
      <c r="C267" s="23" t="n">
        <v>9.5</v>
      </c>
      <c r="D267" s="23" t="inlineStr">
        <is>
          <t>壁掛式</t>
        </is>
      </c>
      <c r="E267" s="26" t="inlineStr">
        <is>
          <t>-</t>
        </is>
      </c>
      <c r="F267" s="26" t="inlineStr">
        <is>
          <t>室外機供電</t>
        </is>
      </c>
      <c r="G267" s="26" t="inlineStr">
        <is>
          <t>-</t>
        </is>
      </c>
      <c r="H267" s="26" t="inlineStr">
        <is>
          <t>-</t>
        </is>
      </c>
      <c r="J267" s="26" t="inlineStr">
        <is>
          <t>990 × 940 × 320</t>
        </is>
      </c>
      <c r="M267" s="26" t="inlineStr">
        <is>
          <t>RKF100XVLT-壁掛式</t>
        </is>
      </c>
      <c r="N267" s="23" t="n">
        <v>9.5</v>
      </c>
      <c r="O267" s="26" t="inlineStr">
        <is>
          <t>-</t>
        </is>
      </c>
      <c r="P267" s="26" t="n">
        <v>2.8</v>
      </c>
      <c r="Q267" s="26" t="inlineStr">
        <is>
          <t>單相/220V/60Hz</t>
        </is>
      </c>
      <c r="R267" s="26" t="n">
        <v>13.3</v>
      </c>
      <c r="S267" s="26" t="n">
        <v>20</v>
      </c>
      <c r="T267" s="26" t="inlineStr">
        <is>
          <t>990×940×320</t>
        </is>
      </c>
    </row>
    <row r="268">
      <c r="B268" s="49" t="n"/>
      <c r="C268" s="49" t="n"/>
      <c r="D268" s="49" t="n"/>
      <c r="E268" s="49" t="n"/>
      <c r="F268" s="50" t="n"/>
      <c r="G268" s="50" t="n"/>
      <c r="H268" s="50" t="n"/>
      <c r="N268" s="38" t="n"/>
    </row>
    <row r="269">
      <c r="B269" s="51" t="inlineStr">
        <is>
          <t>商用冷專全方吹R32</t>
        </is>
      </c>
      <c r="C269" s="28" t="n"/>
      <c r="D269" s="28" t="n"/>
      <c r="E269" s="28" t="n"/>
      <c r="F269" s="30" t="n"/>
      <c r="G269" s="30" t="n"/>
      <c r="H269" s="30" t="n"/>
      <c r="M269" s="51" t="inlineStr">
        <is>
          <t>商用冷專嵌入式全方吹</t>
        </is>
      </c>
      <c r="N269" s="23" t="n"/>
      <c r="O269" s="23" t="n"/>
      <c r="P269" s="23" t="n"/>
      <c r="Q269" s="26" t="n"/>
      <c r="R269" s="26" t="n"/>
    </row>
    <row r="270">
      <c r="B270" s="26" t="inlineStr">
        <is>
          <t>FCA71DVLT</t>
        </is>
      </c>
      <c r="C270" s="23" t="n">
        <v>7.2</v>
      </c>
      <c r="D270" s="23" t="inlineStr">
        <is>
          <t>嵌入式</t>
        </is>
      </c>
      <c r="E270" s="26" t="inlineStr">
        <is>
          <t>-</t>
        </is>
      </c>
      <c r="F270" s="26" t="inlineStr">
        <is>
          <t>室外機供電</t>
        </is>
      </c>
      <c r="G270" s="26" t="inlineStr">
        <is>
          <t>-</t>
        </is>
      </c>
      <c r="H270" s="26" t="inlineStr">
        <is>
          <t>-</t>
        </is>
      </c>
      <c r="J270" s="26" t="inlineStr">
        <is>
          <t>256×840×840</t>
        </is>
      </c>
      <c r="M270" s="26" t="inlineStr">
        <is>
          <t>RZF71DVLT-嵌入式</t>
        </is>
      </c>
      <c r="N270" s="23" t="n">
        <v>7.2</v>
      </c>
      <c r="O270" s="26" t="inlineStr">
        <is>
          <t>-</t>
        </is>
      </c>
      <c r="P270" s="26" t="n">
        <v>1.9</v>
      </c>
      <c r="Q270" s="26" t="inlineStr">
        <is>
          <t>單相/220V/60Hz</t>
        </is>
      </c>
      <c r="R270" s="26" t="n">
        <v>9.5</v>
      </c>
      <c r="S270" s="26" t="n">
        <v>16</v>
      </c>
      <c r="T270" s="26" t="inlineStr">
        <is>
          <t>608×845×300</t>
        </is>
      </c>
    </row>
    <row r="271">
      <c r="B271" s="26" t="inlineStr">
        <is>
          <t>FCA71CVLT</t>
        </is>
      </c>
      <c r="C271" s="23" t="n">
        <v>7.2</v>
      </c>
      <c r="D271" s="23" t="inlineStr">
        <is>
          <t>嵌入式</t>
        </is>
      </c>
      <c r="E271" s="26" t="inlineStr">
        <is>
          <t>-</t>
        </is>
      </c>
      <c r="F271" s="26" t="inlineStr">
        <is>
          <t>室外機供電</t>
        </is>
      </c>
      <c r="G271" s="26" t="inlineStr">
        <is>
          <t>-</t>
        </is>
      </c>
      <c r="H271" s="26" t="inlineStr">
        <is>
          <t>-</t>
        </is>
      </c>
      <c r="J271" s="26" t="inlineStr">
        <is>
          <t>256×840×840</t>
        </is>
      </c>
      <c r="M271" s="26" t="inlineStr">
        <is>
          <t>RZF71CVLT-嵌入式</t>
        </is>
      </c>
      <c r="N271" s="23" t="n">
        <v>7.2</v>
      </c>
      <c r="O271" s="26" t="inlineStr">
        <is>
          <t>-</t>
        </is>
      </c>
      <c r="P271" s="26" t="n">
        <v>1.9</v>
      </c>
      <c r="Q271" s="26" t="inlineStr">
        <is>
          <t>單相/220V/60Hz</t>
        </is>
      </c>
      <c r="R271" s="26" t="n">
        <v>9.5</v>
      </c>
      <c r="S271" s="26" t="n">
        <v>16</v>
      </c>
      <c r="T271" s="26" t="inlineStr">
        <is>
          <t>595×845×300</t>
        </is>
      </c>
    </row>
    <row r="272">
      <c r="B272" s="26" t="inlineStr">
        <is>
          <t>FCA100CVLT</t>
        </is>
      </c>
      <c r="C272" s="23" t="n">
        <v>10.1</v>
      </c>
      <c r="D272" s="23" t="inlineStr">
        <is>
          <t>嵌入式</t>
        </is>
      </c>
      <c r="E272" s="26" t="inlineStr">
        <is>
          <t>-</t>
        </is>
      </c>
      <c r="F272" s="26" t="inlineStr">
        <is>
          <t>室外機供電</t>
        </is>
      </c>
      <c r="G272" s="26" t="inlineStr">
        <is>
          <t>-</t>
        </is>
      </c>
      <c r="H272" s="26" t="inlineStr">
        <is>
          <t>-</t>
        </is>
      </c>
      <c r="J272" s="26" t="inlineStr">
        <is>
          <t>298×840×840</t>
        </is>
      </c>
      <c r="M272" s="26" t="inlineStr">
        <is>
          <t>RZF100CVLT-嵌入式</t>
        </is>
      </c>
      <c r="N272" s="23" t="n">
        <v>10.1</v>
      </c>
      <c r="O272" s="26" t="inlineStr">
        <is>
          <t>-</t>
        </is>
      </c>
      <c r="P272" s="26" t="n">
        <v>2.88</v>
      </c>
      <c r="Q272" s="26" t="inlineStr">
        <is>
          <t>單相/220V/60Hz</t>
        </is>
      </c>
      <c r="R272" s="26" t="n">
        <v>13.4</v>
      </c>
      <c r="S272" s="26" t="n">
        <v>32</v>
      </c>
      <c r="T272" s="26" t="inlineStr">
        <is>
          <t>990×940×320</t>
        </is>
      </c>
    </row>
    <row r="273">
      <c r="B273" s="26" t="inlineStr">
        <is>
          <t>FCA125CVLT</t>
        </is>
      </c>
      <c r="C273" s="23" t="n">
        <v>12.5</v>
      </c>
      <c r="D273" s="23" t="inlineStr">
        <is>
          <t>嵌入式</t>
        </is>
      </c>
      <c r="E273" s="26" t="inlineStr">
        <is>
          <t>-</t>
        </is>
      </c>
      <c r="F273" s="26" t="inlineStr">
        <is>
          <t>室外機供電</t>
        </is>
      </c>
      <c r="G273" s="26" t="inlineStr">
        <is>
          <t>-</t>
        </is>
      </c>
      <c r="H273" s="26" t="inlineStr">
        <is>
          <t>-</t>
        </is>
      </c>
      <c r="J273" s="26" t="inlineStr">
        <is>
          <t>298×840×840</t>
        </is>
      </c>
      <c r="M273" s="26" t="inlineStr">
        <is>
          <t>RZF125CVLT-嵌入式</t>
        </is>
      </c>
      <c r="N273" s="23" t="n">
        <v>12.5</v>
      </c>
      <c r="O273" s="26" t="inlineStr">
        <is>
          <t>-</t>
        </is>
      </c>
      <c r="P273" s="26" t="n">
        <v>4</v>
      </c>
      <c r="Q273" s="26" t="inlineStr">
        <is>
          <t>單相/220V/60Hz</t>
        </is>
      </c>
      <c r="R273" s="26" t="n">
        <v>18.3</v>
      </c>
      <c r="S273" s="26" t="n">
        <v>32</v>
      </c>
      <c r="T273" s="26" t="inlineStr">
        <is>
          <t>990×940×320</t>
        </is>
      </c>
    </row>
    <row r="274">
      <c r="B274" s="26" t="inlineStr">
        <is>
          <t>FCA140CVLT</t>
        </is>
      </c>
      <c r="C274" s="23" t="n">
        <v>14</v>
      </c>
      <c r="D274" s="23" t="inlineStr">
        <is>
          <t>嵌入式</t>
        </is>
      </c>
      <c r="E274" s="26" t="inlineStr">
        <is>
          <t>-</t>
        </is>
      </c>
      <c r="F274" s="26" t="inlineStr">
        <is>
          <t>室外機供電</t>
        </is>
      </c>
      <c r="G274" s="26" t="inlineStr">
        <is>
          <t>-</t>
        </is>
      </c>
      <c r="H274" s="26" t="inlineStr">
        <is>
          <t>-</t>
        </is>
      </c>
      <c r="J274" s="26" t="inlineStr">
        <is>
          <t>298×840×840</t>
        </is>
      </c>
      <c r="M274" s="26" t="inlineStr">
        <is>
          <t>RZF140CVLT-嵌入式</t>
        </is>
      </c>
      <c r="N274" s="23" t="n">
        <v>14</v>
      </c>
      <c r="O274" s="26" t="inlineStr">
        <is>
          <t>-</t>
        </is>
      </c>
      <c r="P274" s="26" t="n">
        <v>4.8</v>
      </c>
      <c r="Q274" s="26" t="inlineStr">
        <is>
          <t>單相/220V/60Hz</t>
        </is>
      </c>
      <c r="R274" s="26" t="n">
        <v>22</v>
      </c>
      <c r="S274" s="26" t="n">
        <v>32</v>
      </c>
      <c r="T274" s="26" t="inlineStr">
        <is>
          <t>990×940×320</t>
        </is>
      </c>
    </row>
    <row r="275">
      <c r="B275" s="26" t="inlineStr">
        <is>
          <t>FCA140DVLT</t>
        </is>
      </c>
      <c r="C275" s="23" t="n">
        <v>14</v>
      </c>
      <c r="D275" s="23" t="inlineStr">
        <is>
          <t>嵌入式</t>
        </is>
      </c>
      <c r="E275" s="26" t="inlineStr">
        <is>
          <t>-</t>
        </is>
      </c>
      <c r="F275" s="26" t="inlineStr">
        <is>
          <t>室外機供電</t>
        </is>
      </c>
      <c r="G275" s="26" t="inlineStr">
        <is>
          <t>-</t>
        </is>
      </c>
      <c r="H275" s="26" t="inlineStr">
        <is>
          <t>-</t>
        </is>
      </c>
      <c r="J275" s="26" t="inlineStr">
        <is>
          <t>298×840×840</t>
        </is>
      </c>
      <c r="M275" s="26" t="inlineStr">
        <is>
          <t>RZF140DTLT-嵌入式</t>
        </is>
      </c>
      <c r="N275" s="23" t="n">
        <v>14</v>
      </c>
      <c r="O275" s="26" t="inlineStr">
        <is>
          <t>-</t>
        </is>
      </c>
      <c r="P275" s="26" t="n">
        <v>4.8</v>
      </c>
      <c r="Q275" s="26" t="inlineStr">
        <is>
          <t>3相/220V/60Hz</t>
        </is>
      </c>
      <c r="R275" s="26" t="n">
        <v>13.4</v>
      </c>
      <c r="S275" s="26" t="n">
        <v>32</v>
      </c>
      <c r="T275" s="26" t="inlineStr">
        <is>
          <t>990×940×320</t>
        </is>
      </c>
    </row>
    <row r="276">
      <c r="B276" s="26" t="inlineStr">
        <is>
          <t>FCA140CVLT</t>
        </is>
      </c>
      <c r="C276" s="23" t="n">
        <v>14</v>
      </c>
      <c r="D276" s="23" t="inlineStr">
        <is>
          <t>嵌入式</t>
        </is>
      </c>
      <c r="E276" s="26" t="inlineStr">
        <is>
          <t>-</t>
        </is>
      </c>
      <c r="F276" s="26" t="inlineStr">
        <is>
          <t>室外機供電</t>
        </is>
      </c>
      <c r="G276" s="26" t="inlineStr">
        <is>
          <t>-</t>
        </is>
      </c>
      <c r="H276" s="26" t="inlineStr">
        <is>
          <t>-</t>
        </is>
      </c>
      <c r="J276" s="26" t="inlineStr">
        <is>
          <t>298×840×840</t>
        </is>
      </c>
      <c r="M276" s="26" t="inlineStr">
        <is>
          <t>RZF140CYLT-嵌入式</t>
        </is>
      </c>
      <c r="N276" s="23" t="n">
        <v>14</v>
      </c>
      <c r="O276" s="26" t="inlineStr">
        <is>
          <t>-</t>
        </is>
      </c>
      <c r="P276" s="26" t="n">
        <v>4.8</v>
      </c>
      <c r="Q276" s="26" t="inlineStr">
        <is>
          <t>3相/4線/380V/60Hz</t>
        </is>
      </c>
      <c r="R276" s="26" t="n">
        <v>8.220000000000001</v>
      </c>
      <c r="S276" s="26" t="n">
        <v>20</v>
      </c>
      <c r="T276" s="26" t="inlineStr">
        <is>
          <t>990×940×320</t>
        </is>
      </c>
    </row>
    <row r="277">
      <c r="C277" s="38" t="n"/>
      <c r="D277" s="38" t="n"/>
      <c r="E277" s="38" t="n"/>
    </row>
    <row r="278">
      <c r="B278" s="51" t="inlineStr">
        <is>
          <t>商用冷專吊隱式R32</t>
        </is>
      </c>
      <c r="C278" s="23" t="n"/>
      <c r="D278" s="23" t="n"/>
      <c r="E278" s="23" t="n"/>
      <c r="F278" s="26" t="n"/>
      <c r="G278" s="26" t="n"/>
      <c r="H278" s="26" t="n"/>
      <c r="M278" s="51" t="inlineStr">
        <is>
          <t>商用冷專吊隱式</t>
        </is>
      </c>
      <c r="N278" s="23" t="n"/>
      <c r="O278" s="23" t="n"/>
      <c r="P278" s="23" t="n"/>
      <c r="Q278" s="26" t="n"/>
      <c r="R278" s="26" t="n"/>
    </row>
    <row r="279">
      <c r="B279" s="23" t="inlineStr">
        <is>
          <t>FBA71BVLT</t>
        </is>
      </c>
      <c r="C279" s="23" t="n">
        <v>7.2</v>
      </c>
      <c r="D279" s="23" t="inlineStr">
        <is>
          <t>吊隱式</t>
        </is>
      </c>
      <c r="E279" s="26" t="inlineStr">
        <is>
          <t>-</t>
        </is>
      </c>
      <c r="F279" s="26" t="inlineStr">
        <is>
          <t>單相/220V/60Hz</t>
        </is>
      </c>
      <c r="G279" s="26" t="n">
        <v>0.23</v>
      </c>
      <c r="H279" s="26" t="n">
        <v>1.4</v>
      </c>
      <c r="J279" s="26" t="inlineStr">
        <is>
          <t>245×1000×800</t>
        </is>
      </c>
      <c r="M279" s="26" t="inlineStr">
        <is>
          <t>RZF71DVLT-吊隱式</t>
        </is>
      </c>
      <c r="N279" s="23" t="n">
        <v>7.2</v>
      </c>
      <c r="O279" s="26" t="inlineStr">
        <is>
          <t>-</t>
        </is>
      </c>
      <c r="P279" s="26" t="n">
        <v>2.01</v>
      </c>
      <c r="Q279" s="26" t="inlineStr">
        <is>
          <t>單相/220V/60Hz</t>
        </is>
      </c>
      <c r="R279" s="26" t="n">
        <v>10</v>
      </c>
      <c r="S279" s="26" t="n">
        <v>20</v>
      </c>
      <c r="T279" s="26" t="inlineStr">
        <is>
          <t>608×845×300</t>
        </is>
      </c>
    </row>
    <row r="280">
      <c r="B280" s="23" t="inlineStr">
        <is>
          <t>FBA100BVLT</t>
        </is>
      </c>
      <c r="C280" s="23" t="n">
        <v>10.1</v>
      </c>
      <c r="D280" s="23" t="inlineStr">
        <is>
          <t>吊隱式</t>
        </is>
      </c>
      <c r="E280" s="26" t="inlineStr">
        <is>
          <t>-</t>
        </is>
      </c>
      <c r="F280" s="26" t="inlineStr">
        <is>
          <t>單相/220V/60Hz</t>
        </is>
      </c>
      <c r="G280" s="26" t="n">
        <v>0.3</v>
      </c>
      <c r="H280" s="26" t="n">
        <v>1.8</v>
      </c>
      <c r="J280" s="26" t="inlineStr">
        <is>
          <t>245×1400×800</t>
        </is>
      </c>
      <c r="M280" s="26" t="inlineStr">
        <is>
          <t>RZF100CVLT-吊隱式</t>
        </is>
      </c>
      <c r="N280" s="23" t="n">
        <v>10.1</v>
      </c>
      <c r="O280" s="26" t="inlineStr">
        <is>
          <t>-</t>
        </is>
      </c>
      <c r="P280" s="26" t="n">
        <v>3.04</v>
      </c>
      <c r="Q280" s="26" t="inlineStr">
        <is>
          <t>單相/220V/60Hz</t>
        </is>
      </c>
      <c r="R280" s="26" t="n">
        <v>14</v>
      </c>
      <c r="S280" s="26" t="n">
        <v>32</v>
      </c>
      <c r="T280" s="26" t="inlineStr">
        <is>
          <t>990×940×320</t>
        </is>
      </c>
    </row>
    <row r="281">
      <c r="B281" s="23" t="inlineStr">
        <is>
          <t>FBA125BVLT</t>
        </is>
      </c>
      <c r="C281" s="23" t="n">
        <v>12.5</v>
      </c>
      <c r="D281" s="23" t="inlineStr">
        <is>
          <t>吊隱式</t>
        </is>
      </c>
      <c r="E281" s="26" t="inlineStr">
        <is>
          <t>-</t>
        </is>
      </c>
      <c r="F281" s="26" t="inlineStr">
        <is>
          <t>單相/220V/60Hz</t>
        </is>
      </c>
      <c r="G281" s="26" t="n">
        <v>0.3</v>
      </c>
      <c r="H281" s="26" t="n">
        <v>2.3</v>
      </c>
      <c r="J281" s="26" t="inlineStr">
        <is>
          <t>245×1400×800</t>
        </is>
      </c>
      <c r="M281" s="26" t="inlineStr">
        <is>
          <t>RZF125CVLT-吊隱式</t>
        </is>
      </c>
      <c r="N281" s="23" t="n">
        <v>12.5</v>
      </c>
      <c r="O281" s="26" t="inlineStr">
        <is>
          <t>-</t>
        </is>
      </c>
      <c r="P281" s="26" t="n">
        <v>4.44</v>
      </c>
      <c r="Q281" s="26" t="inlineStr">
        <is>
          <t>單相/220V/60Hz</t>
        </is>
      </c>
      <c r="R281" s="26" t="n">
        <v>20.3</v>
      </c>
      <c r="S281" s="26" t="n">
        <v>32</v>
      </c>
      <c r="T281" s="26" t="inlineStr">
        <is>
          <t>990×940×320</t>
        </is>
      </c>
    </row>
    <row r="282">
      <c r="B282" s="23" t="inlineStr">
        <is>
          <t>FBA140BVLT</t>
        </is>
      </c>
      <c r="C282" s="23" t="n">
        <v>13.3</v>
      </c>
      <c r="D282" s="23" t="inlineStr">
        <is>
          <t>吊隱式</t>
        </is>
      </c>
      <c r="E282" s="26" t="inlineStr">
        <is>
          <t>-</t>
        </is>
      </c>
      <c r="F282" s="26" t="inlineStr">
        <is>
          <t>單相/220V/60Hz</t>
        </is>
      </c>
      <c r="G282" s="26" t="n">
        <v>0.3</v>
      </c>
      <c r="H282" s="26" t="n">
        <v>2.3</v>
      </c>
      <c r="J282" s="26" t="inlineStr">
        <is>
          <t>245×1400×800</t>
        </is>
      </c>
      <c r="M282" s="26" t="inlineStr">
        <is>
          <t>RZF140CVLT-吊隱式</t>
        </is>
      </c>
      <c r="N282" s="23" t="n">
        <v>13.3</v>
      </c>
      <c r="O282" s="26" t="inlineStr">
        <is>
          <t>-</t>
        </is>
      </c>
      <c r="P282" s="26" t="n">
        <v>5.41</v>
      </c>
      <c r="Q282" s="26" t="inlineStr">
        <is>
          <t>單相/220V/60Hz</t>
        </is>
      </c>
      <c r="R282" s="26" t="n">
        <v>24.75</v>
      </c>
      <c r="S282" s="26" t="n">
        <v>32</v>
      </c>
      <c r="T282" s="26" t="inlineStr">
        <is>
          <t>990×940×320</t>
        </is>
      </c>
    </row>
    <row r="283">
      <c r="B283" s="23" t="inlineStr">
        <is>
          <t>FBA140BVLT</t>
        </is>
      </c>
      <c r="C283" s="23" t="n">
        <v>13.3</v>
      </c>
      <c r="D283" s="23" t="inlineStr">
        <is>
          <t>吊隱式</t>
        </is>
      </c>
      <c r="E283" s="26" t="inlineStr">
        <is>
          <t>-</t>
        </is>
      </c>
      <c r="F283" s="26" t="inlineStr">
        <is>
          <t>單相/220V/60Hz</t>
        </is>
      </c>
      <c r="G283" s="26" t="n">
        <v>0.3</v>
      </c>
      <c r="H283" s="26" t="n">
        <v>2.3</v>
      </c>
      <c r="J283" s="26" t="inlineStr">
        <is>
          <t>245×1400×800</t>
        </is>
      </c>
      <c r="M283" s="26" t="inlineStr">
        <is>
          <t>RZF140DTLT-吊隱式</t>
        </is>
      </c>
      <c r="N283" s="23" t="n">
        <v>13.3</v>
      </c>
      <c r="O283" s="26" t="inlineStr">
        <is>
          <t>-</t>
        </is>
      </c>
      <c r="P283" s="26" t="n">
        <v>5.41</v>
      </c>
      <c r="Q283" s="26" t="inlineStr">
        <is>
          <t>3相/220V/60Hz</t>
        </is>
      </c>
      <c r="R283" s="26" t="n">
        <v>14.5</v>
      </c>
      <c r="S283" s="26" t="n">
        <v>25</v>
      </c>
      <c r="T283" s="26" t="inlineStr">
        <is>
          <t>990×940×320</t>
        </is>
      </c>
    </row>
    <row r="284">
      <c r="B284" s="23" t="inlineStr">
        <is>
          <t>FBA140BVLT</t>
        </is>
      </c>
      <c r="C284" s="23" t="n">
        <v>13.3</v>
      </c>
      <c r="D284" s="23" t="inlineStr">
        <is>
          <t>吊隱式</t>
        </is>
      </c>
      <c r="E284" s="26" t="inlineStr">
        <is>
          <t>-</t>
        </is>
      </c>
      <c r="F284" s="26" t="inlineStr">
        <is>
          <t>單相/220V/60Hz</t>
        </is>
      </c>
      <c r="G284" s="26" t="n">
        <v>0.3</v>
      </c>
      <c r="H284" s="26" t="n">
        <v>2.3</v>
      </c>
      <c r="J284" s="26" t="inlineStr">
        <is>
          <t>245×1400×800</t>
        </is>
      </c>
      <c r="M284" s="26" t="inlineStr">
        <is>
          <t>RZF140CYLT-吊隱式</t>
        </is>
      </c>
      <c r="N284" s="23" t="n">
        <v>13.3</v>
      </c>
      <c r="O284" s="26" t="inlineStr">
        <is>
          <t>-</t>
        </is>
      </c>
      <c r="P284" s="26" t="n">
        <v>5.41</v>
      </c>
      <c r="Q284" s="26" t="inlineStr">
        <is>
          <t>3相/4線/380V/60Hz</t>
        </is>
      </c>
      <c r="R284" s="26" t="n">
        <v>8.69</v>
      </c>
      <c r="S284" s="26" t="n">
        <v>16</v>
      </c>
      <c r="T284" s="26" t="inlineStr">
        <is>
          <t>990×940×320</t>
        </is>
      </c>
    </row>
    <row r="285">
      <c r="B285" s="38" t="n"/>
      <c r="C285" s="38" t="n"/>
      <c r="D285" s="38" t="n"/>
      <c r="E285" s="38" t="n"/>
    </row>
    <row r="286">
      <c r="B286" s="51" t="inlineStr">
        <is>
          <t>商用冷暖全方吹R32</t>
        </is>
      </c>
      <c r="C286" s="23" t="n"/>
      <c r="D286" s="23" t="n"/>
      <c r="E286" s="23" t="n"/>
      <c r="F286" s="26" t="n"/>
      <c r="G286" s="26" t="n"/>
      <c r="H286" s="26" t="n"/>
      <c r="M286" s="51" t="inlineStr">
        <is>
          <t>商用冷暖嵌入式全方吹</t>
        </is>
      </c>
      <c r="N286" s="23" t="n"/>
      <c r="O286" s="23" t="n"/>
      <c r="P286" s="23" t="n"/>
      <c r="Q286" s="26" t="n"/>
      <c r="R286" s="26" t="n"/>
    </row>
    <row r="287">
      <c r="B287" s="26" t="inlineStr">
        <is>
          <t>FCA71DVLT</t>
        </is>
      </c>
      <c r="C287" s="23" t="n">
        <v>7.2</v>
      </c>
      <c r="D287" s="23" t="inlineStr">
        <is>
          <t>嵌入式</t>
        </is>
      </c>
      <c r="E287" s="26" t="inlineStr">
        <is>
          <t>-</t>
        </is>
      </c>
      <c r="F287" s="26" t="inlineStr">
        <is>
          <t>室外機供電</t>
        </is>
      </c>
      <c r="G287" s="26" t="inlineStr">
        <is>
          <t>-</t>
        </is>
      </c>
      <c r="H287" s="26" t="inlineStr">
        <is>
          <t>-</t>
        </is>
      </c>
      <c r="J287" s="26" t="inlineStr">
        <is>
          <t>256×840×840</t>
        </is>
      </c>
      <c r="M287" s="46" t="inlineStr">
        <is>
          <t>RZAC71EVLT-嵌入式</t>
        </is>
      </c>
      <c r="N287" s="23" t="n">
        <v>7.2</v>
      </c>
      <c r="O287" s="26" t="inlineStr">
        <is>
          <t>-</t>
        </is>
      </c>
      <c r="P287" s="26" t="n">
        <v>1.88</v>
      </c>
      <c r="Q287" s="26" t="inlineStr">
        <is>
          <t>單相/220V/60Hz</t>
        </is>
      </c>
      <c r="R287" s="26" t="n">
        <v>10.4</v>
      </c>
      <c r="S287" s="26" t="n">
        <v>20</v>
      </c>
      <c r="T287" s="26" t="inlineStr">
        <is>
          <t>608×845×300</t>
        </is>
      </c>
    </row>
    <row r="288">
      <c r="B288" s="26" t="inlineStr">
        <is>
          <t>FCA100CVLT</t>
        </is>
      </c>
      <c r="C288" s="23" t="n">
        <v>10.4</v>
      </c>
      <c r="D288" s="23" t="inlineStr">
        <is>
          <t>嵌入式</t>
        </is>
      </c>
      <c r="E288" s="26" t="inlineStr">
        <is>
          <t>-</t>
        </is>
      </c>
      <c r="F288" s="26" t="inlineStr">
        <is>
          <t>室外機供電</t>
        </is>
      </c>
      <c r="G288" s="26" t="inlineStr">
        <is>
          <t>-</t>
        </is>
      </c>
      <c r="H288" s="26" t="inlineStr">
        <is>
          <t>-</t>
        </is>
      </c>
      <c r="J288" s="26" t="inlineStr">
        <is>
          <t>298×840×840</t>
        </is>
      </c>
      <c r="M288" s="26" t="inlineStr">
        <is>
          <t>RZAC100DVLT-嵌入式</t>
        </is>
      </c>
      <c r="N288" s="23" t="n">
        <v>10.4</v>
      </c>
      <c r="O288" s="26" t="inlineStr">
        <is>
          <t>-</t>
        </is>
      </c>
      <c r="P288" s="26" t="n">
        <v>2.86</v>
      </c>
      <c r="Q288" s="26" t="inlineStr">
        <is>
          <t>單相/220V/60Hz</t>
        </is>
      </c>
      <c r="R288" s="26" t="n">
        <v>13.2</v>
      </c>
      <c r="S288" s="26" t="n">
        <v>25</v>
      </c>
      <c r="T288" s="26" t="inlineStr">
        <is>
          <t>990×940×320</t>
        </is>
      </c>
    </row>
    <row r="289">
      <c r="B289" s="26" t="inlineStr">
        <is>
          <t>FCA125CVLT</t>
        </is>
      </c>
      <c r="C289" s="23" t="n">
        <v>12.5</v>
      </c>
      <c r="D289" s="23" t="inlineStr">
        <is>
          <t>嵌入式</t>
        </is>
      </c>
      <c r="E289" s="26" t="inlineStr">
        <is>
          <t>-</t>
        </is>
      </c>
      <c r="F289" s="26" t="inlineStr">
        <is>
          <t>室外機供電</t>
        </is>
      </c>
      <c r="G289" s="26" t="inlineStr">
        <is>
          <t>-</t>
        </is>
      </c>
      <c r="H289" s="26" t="inlineStr">
        <is>
          <t>-</t>
        </is>
      </c>
      <c r="J289" s="26" t="inlineStr">
        <is>
          <t>298×840×840</t>
        </is>
      </c>
      <c r="M289" s="26" t="inlineStr">
        <is>
          <t>RZAC125DVLT-嵌入式</t>
        </is>
      </c>
      <c r="N289" s="23" t="n">
        <v>12.5</v>
      </c>
      <c r="O289" s="26" t="inlineStr">
        <is>
          <t>-</t>
        </is>
      </c>
      <c r="P289" s="26" t="n">
        <v>3.75</v>
      </c>
      <c r="Q289" s="26" t="inlineStr">
        <is>
          <t>單相/220V/60Hz</t>
        </is>
      </c>
      <c r="R289" s="26" t="n">
        <v>17.35</v>
      </c>
      <c r="S289" s="26" t="n">
        <v>32</v>
      </c>
      <c r="T289" s="26" t="inlineStr">
        <is>
          <t>990×940×320</t>
        </is>
      </c>
    </row>
    <row r="290">
      <c r="B290" s="26" t="inlineStr">
        <is>
          <t>FCA140CVLT</t>
        </is>
      </c>
      <c r="C290" s="23" t="n">
        <v>14</v>
      </c>
      <c r="D290" s="23" t="inlineStr">
        <is>
          <t>嵌入式</t>
        </is>
      </c>
      <c r="E290" s="26" t="inlineStr">
        <is>
          <t>-</t>
        </is>
      </c>
      <c r="F290" s="26" t="inlineStr">
        <is>
          <t>室外機供電</t>
        </is>
      </c>
      <c r="G290" s="26" t="inlineStr">
        <is>
          <t>-</t>
        </is>
      </c>
      <c r="H290" s="26" t="inlineStr">
        <is>
          <t>-</t>
        </is>
      </c>
      <c r="J290" s="26" t="inlineStr">
        <is>
          <t>298×840×840</t>
        </is>
      </c>
      <c r="M290" s="26" t="inlineStr">
        <is>
          <t>RZAC140DVLT-嵌入式</t>
        </is>
      </c>
      <c r="N290" s="23" t="n">
        <v>14</v>
      </c>
      <c r="O290" s="26" t="inlineStr">
        <is>
          <t>-</t>
        </is>
      </c>
      <c r="P290" s="26" t="n">
        <v>4.7</v>
      </c>
      <c r="Q290" s="26" t="inlineStr">
        <is>
          <t>單相/220V/60Hz</t>
        </is>
      </c>
      <c r="R290" s="26" t="n">
        <v>21.8</v>
      </c>
      <c r="S290" s="26" t="n">
        <v>32</v>
      </c>
      <c r="T290" s="26" t="inlineStr">
        <is>
          <t>990×940×320</t>
        </is>
      </c>
    </row>
    <row r="291">
      <c r="B291" s="26" t="inlineStr">
        <is>
          <t>FCA140DVLT</t>
        </is>
      </c>
      <c r="C291" s="23" t="n">
        <v>14</v>
      </c>
      <c r="D291" s="23" t="inlineStr">
        <is>
          <t>嵌入式</t>
        </is>
      </c>
      <c r="E291" s="26" t="inlineStr">
        <is>
          <t>-</t>
        </is>
      </c>
      <c r="F291" s="26" t="inlineStr">
        <is>
          <t>室外機供電</t>
        </is>
      </c>
      <c r="G291" s="26" t="inlineStr">
        <is>
          <t>-</t>
        </is>
      </c>
      <c r="H291" s="26" t="inlineStr">
        <is>
          <t>-</t>
        </is>
      </c>
      <c r="J291" s="26" t="inlineStr">
        <is>
          <t>298×840×840</t>
        </is>
      </c>
      <c r="M291" s="46" t="inlineStr">
        <is>
          <t>RZAC140ETLT-嵌入式</t>
        </is>
      </c>
      <c r="N291" s="23" t="n">
        <v>14</v>
      </c>
      <c r="O291" s="26" t="inlineStr">
        <is>
          <t>-</t>
        </is>
      </c>
      <c r="P291" s="26" t="n">
        <v>4.7</v>
      </c>
      <c r="Q291" s="26" t="inlineStr">
        <is>
          <t>3相/220V/60Hz</t>
        </is>
      </c>
      <c r="R291" s="26" t="n">
        <v>13</v>
      </c>
      <c r="S291" s="26" t="n">
        <v>25</v>
      </c>
      <c r="T291" s="26" t="inlineStr">
        <is>
          <t>990×940×320</t>
        </is>
      </c>
    </row>
    <row r="292">
      <c r="B292" s="26" t="inlineStr">
        <is>
          <t>FCA140CVLT</t>
        </is>
      </c>
      <c r="C292" s="23" t="n">
        <v>14</v>
      </c>
      <c r="D292" s="23" t="inlineStr">
        <is>
          <t>嵌入式</t>
        </is>
      </c>
      <c r="E292" s="26" t="inlineStr">
        <is>
          <t>-</t>
        </is>
      </c>
      <c r="F292" s="26" t="inlineStr">
        <is>
          <t>室外機供電</t>
        </is>
      </c>
      <c r="G292" s="26" t="inlineStr">
        <is>
          <t>-</t>
        </is>
      </c>
      <c r="H292" s="26" t="inlineStr">
        <is>
          <t>-</t>
        </is>
      </c>
      <c r="J292" s="26" t="inlineStr">
        <is>
          <t>298×840×840</t>
        </is>
      </c>
      <c r="M292" s="26" t="inlineStr">
        <is>
          <t>RZAC140DYLT-嵌入式</t>
        </is>
      </c>
      <c r="N292" s="23" t="n">
        <v>14</v>
      </c>
      <c r="O292" s="26" t="inlineStr">
        <is>
          <t>-</t>
        </is>
      </c>
      <c r="P292" s="26" t="n">
        <v>4.7</v>
      </c>
      <c r="Q292" s="26" t="inlineStr">
        <is>
          <t>3相/4線/380V/60Hz</t>
        </is>
      </c>
      <c r="R292" s="26" t="n">
        <v>7.31</v>
      </c>
      <c r="S292" s="26" t="n">
        <v>20</v>
      </c>
      <c r="T292" s="26" t="inlineStr">
        <is>
          <t>990×940×320</t>
        </is>
      </c>
    </row>
    <row r="293"/>
    <row r="294">
      <c r="B294" s="51" t="inlineStr">
        <is>
          <t>商用冷暖吊隱式R32</t>
        </is>
      </c>
      <c r="C294" s="23" t="n"/>
      <c r="D294" s="23" t="n"/>
      <c r="E294" s="26" t="n"/>
      <c r="F294" s="26" t="n"/>
      <c r="G294" s="26" t="n"/>
      <c r="H294" s="26" t="n"/>
      <c r="M294" s="51" t="inlineStr">
        <is>
          <t>商用冷暖吊隱式</t>
        </is>
      </c>
      <c r="N294" s="23" t="n"/>
      <c r="O294" s="23" t="n"/>
      <c r="P294" s="23" t="n"/>
      <c r="Q294" s="26" t="n"/>
      <c r="R294" s="26" t="n"/>
    </row>
    <row r="295">
      <c r="B295" s="23" t="inlineStr">
        <is>
          <t>FBA71BVLT</t>
        </is>
      </c>
      <c r="C295" s="23" t="n">
        <v>7.2</v>
      </c>
      <c r="D295" s="23" t="inlineStr">
        <is>
          <t>吊隱式</t>
        </is>
      </c>
      <c r="E295" s="26" t="inlineStr">
        <is>
          <t>-</t>
        </is>
      </c>
      <c r="F295" s="26" t="inlineStr">
        <is>
          <t>單相/220V/60Hz</t>
        </is>
      </c>
      <c r="G295" s="26" t="n">
        <v>0.23</v>
      </c>
      <c r="H295" s="26" t="n">
        <v>1.4</v>
      </c>
      <c r="J295" s="26" t="inlineStr">
        <is>
          <t>245×1000×800</t>
        </is>
      </c>
      <c r="M295" s="26" t="inlineStr">
        <is>
          <t>RZAC71EVLT-吊隱式</t>
        </is>
      </c>
      <c r="N295" s="23" t="n">
        <v>7.2</v>
      </c>
      <c r="O295" s="26" t="inlineStr">
        <is>
          <t>-</t>
        </is>
      </c>
      <c r="P295" s="26" t="n">
        <v>2.1</v>
      </c>
      <c r="Q295" s="26" t="inlineStr">
        <is>
          <t>單相/220V/60Hz</t>
        </is>
      </c>
      <c r="R295" s="26" t="n">
        <v>11.7</v>
      </c>
      <c r="S295" s="26" t="n">
        <v>20</v>
      </c>
      <c r="T295" s="26" t="inlineStr">
        <is>
          <t>608×845×300</t>
        </is>
      </c>
    </row>
    <row r="296">
      <c r="B296" s="23" t="inlineStr">
        <is>
          <t>FBA100BVLT</t>
        </is>
      </c>
      <c r="C296" s="23" t="n">
        <v>10.1</v>
      </c>
      <c r="D296" s="23" t="inlineStr">
        <is>
          <t>吊隱式</t>
        </is>
      </c>
      <c r="E296" s="26" t="inlineStr">
        <is>
          <t>-</t>
        </is>
      </c>
      <c r="F296" s="26" t="inlineStr">
        <is>
          <t>單相/220V/60Hz</t>
        </is>
      </c>
      <c r="G296" s="26" t="n">
        <v>0.3</v>
      </c>
      <c r="H296" s="26" t="n">
        <v>1.8</v>
      </c>
      <c r="J296" s="26" t="inlineStr">
        <is>
          <t>245×1400×800</t>
        </is>
      </c>
      <c r="M296" s="26" t="inlineStr">
        <is>
          <t>RZAC100DVLT-吊隱式</t>
        </is>
      </c>
      <c r="N296" s="23" t="n">
        <v>10.1</v>
      </c>
      <c r="O296" s="26" t="inlineStr">
        <is>
          <t>-</t>
        </is>
      </c>
      <c r="P296" s="26" t="n">
        <v>2.85</v>
      </c>
      <c r="Q296" s="26" t="inlineStr">
        <is>
          <t>單相/220V/60Hz</t>
        </is>
      </c>
      <c r="R296" s="26" t="n">
        <v>14.1</v>
      </c>
      <c r="S296" s="26" t="n">
        <v>25</v>
      </c>
      <c r="T296" s="26" t="inlineStr">
        <is>
          <t>990×940×320</t>
        </is>
      </c>
    </row>
    <row r="297">
      <c r="B297" s="23" t="inlineStr">
        <is>
          <t>FBA125BVLT</t>
        </is>
      </c>
      <c r="C297" s="215" t="n">
        <v>12.5</v>
      </c>
      <c r="D297" s="23" t="inlineStr">
        <is>
          <t>吊隱式</t>
        </is>
      </c>
      <c r="E297" s="26" t="inlineStr">
        <is>
          <t>-</t>
        </is>
      </c>
      <c r="F297" s="26" t="inlineStr">
        <is>
          <t>單相/220V/60Hz</t>
        </is>
      </c>
      <c r="G297" s="26" t="n">
        <v>0.3</v>
      </c>
      <c r="H297" s="26" t="n">
        <v>2.3</v>
      </c>
      <c r="J297" s="26" t="inlineStr">
        <is>
          <t>245×1400×800</t>
        </is>
      </c>
      <c r="M297" s="26" t="inlineStr">
        <is>
          <t>RZAC125DVLT-吊隱式</t>
        </is>
      </c>
      <c r="N297" s="23" t="n">
        <v>12.5</v>
      </c>
      <c r="O297" s="26" t="inlineStr">
        <is>
          <t>-</t>
        </is>
      </c>
      <c r="P297" s="26" t="n">
        <v>4.3</v>
      </c>
      <c r="Q297" s="26" t="inlineStr">
        <is>
          <t>單相/220V/60Hz</t>
        </is>
      </c>
      <c r="R297" s="26" t="n">
        <v>19.8</v>
      </c>
      <c r="S297" s="26" t="n">
        <v>32</v>
      </c>
      <c r="T297" s="26" t="inlineStr">
        <is>
          <t>990×940×320</t>
        </is>
      </c>
    </row>
    <row r="298">
      <c r="B298" s="23" t="inlineStr">
        <is>
          <t>FBA140BVLT</t>
        </is>
      </c>
      <c r="C298" s="215" t="n">
        <v>13.3</v>
      </c>
      <c r="D298" s="23" t="inlineStr">
        <is>
          <t>吊隱式</t>
        </is>
      </c>
      <c r="E298" s="26" t="inlineStr">
        <is>
          <t>-</t>
        </is>
      </c>
      <c r="F298" s="26" t="inlineStr">
        <is>
          <t>單相/220V/60Hz</t>
        </is>
      </c>
      <c r="G298" s="26" t="n">
        <v>0.3</v>
      </c>
      <c r="H298" s="26" t="n">
        <v>2.3</v>
      </c>
      <c r="J298" s="26" t="inlineStr">
        <is>
          <t>245×1400×800</t>
        </is>
      </c>
      <c r="M298" s="26" t="inlineStr">
        <is>
          <t>RZAC140DVLT-吊隱式</t>
        </is>
      </c>
      <c r="N298" s="23" t="n">
        <v>13.3</v>
      </c>
      <c r="O298" s="26" t="inlineStr">
        <is>
          <t>-</t>
        </is>
      </c>
      <c r="P298" s="26" t="n">
        <v>4.86</v>
      </c>
      <c r="Q298" s="26" t="inlineStr">
        <is>
          <t>單相/220V/60Hz</t>
        </is>
      </c>
      <c r="R298" s="26" t="n">
        <v>22.5</v>
      </c>
      <c r="S298" s="26" t="n">
        <v>32</v>
      </c>
      <c r="T298" s="26" t="inlineStr">
        <is>
          <t>990×940×320</t>
        </is>
      </c>
    </row>
    <row r="299">
      <c r="B299" s="23" t="inlineStr">
        <is>
          <t>FBA140BVLT</t>
        </is>
      </c>
      <c r="C299" s="215" t="n">
        <v>13.3</v>
      </c>
      <c r="D299" s="23" t="inlineStr">
        <is>
          <t>吊隱式</t>
        </is>
      </c>
      <c r="E299" s="26" t="inlineStr">
        <is>
          <t>-</t>
        </is>
      </c>
      <c r="F299" s="26" t="inlineStr">
        <is>
          <t>單相/220V/60Hz</t>
        </is>
      </c>
      <c r="G299" s="26" t="n">
        <v>0.3</v>
      </c>
      <c r="H299" s="26" t="n">
        <v>2.3</v>
      </c>
      <c r="J299" s="26" t="inlineStr">
        <is>
          <t>245×1400×800</t>
        </is>
      </c>
      <c r="M299" s="26" t="inlineStr">
        <is>
          <t>RZAC140DTLT-吊隱式</t>
        </is>
      </c>
      <c r="N299" s="23" t="n">
        <v>13.3</v>
      </c>
      <c r="O299" s="26" t="inlineStr">
        <is>
          <t>-</t>
        </is>
      </c>
      <c r="P299" s="26" t="n">
        <v>4.9</v>
      </c>
      <c r="Q299" s="26" t="inlineStr">
        <is>
          <t>3相/220V/60Hz</t>
        </is>
      </c>
      <c r="R299" s="26" t="n">
        <v>13.1</v>
      </c>
      <c r="S299" s="26" t="n">
        <v>25</v>
      </c>
      <c r="T299" s="26" t="inlineStr">
        <is>
          <t>990×940×320</t>
        </is>
      </c>
    </row>
    <row r="300">
      <c r="B300" s="23" t="inlineStr">
        <is>
          <t>FBA140BVLT</t>
        </is>
      </c>
      <c r="C300" s="215" t="n">
        <v>13.3</v>
      </c>
      <c r="D300" s="23" t="inlineStr">
        <is>
          <t>吊隱式</t>
        </is>
      </c>
      <c r="E300" s="26" t="inlineStr">
        <is>
          <t>-</t>
        </is>
      </c>
      <c r="F300" s="26" t="inlineStr">
        <is>
          <t>單相/220V/60Hz</t>
        </is>
      </c>
      <c r="G300" s="26" t="n">
        <v>0.3</v>
      </c>
      <c r="H300" s="26" t="n">
        <v>2.3</v>
      </c>
      <c r="J300" s="26" t="inlineStr">
        <is>
          <t>245×1400×800</t>
        </is>
      </c>
      <c r="M300" s="26" t="inlineStr">
        <is>
          <t>RZAC140DYLT-吊隱式</t>
        </is>
      </c>
      <c r="N300" s="23" t="n">
        <v>13.3</v>
      </c>
      <c r="O300" s="26" t="inlineStr">
        <is>
          <t>-</t>
        </is>
      </c>
      <c r="P300" s="26" t="n">
        <v>4.89</v>
      </c>
      <c r="Q300" s="26" t="inlineStr">
        <is>
          <t>3相/4線/380V/60Hz</t>
        </is>
      </c>
      <c r="R300" s="26" t="n">
        <v>7.76</v>
      </c>
      <c r="S300" s="26" t="n">
        <v>16</v>
      </c>
      <c r="T300" s="26" t="inlineStr">
        <is>
          <t>990×940×320</t>
        </is>
      </c>
    </row>
    <row r="301"/>
    <row r="302"/>
    <row r="303"/>
    <row r="304"/>
    <row r="305"/>
    <row r="306"/>
    <row r="307"/>
    <row r="308"/>
    <row r="309"/>
    <row r="310"/>
    <row r="311"/>
    <row r="312"/>
  </sheetData>
  <mergeCells count="4">
    <mergeCell ref="M2:R2"/>
    <mergeCell ref="V2:Z2"/>
    <mergeCell ref="V17:Y17"/>
    <mergeCell ref="B2:J2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3" customWidth="1" style="52" min="1" max="1"/>
    <col width="26" customWidth="1" style="52" min="2" max="2"/>
    <col width="15" customWidth="1" style="52" min="3" max="3"/>
    <col width="12" customWidth="1" style="52" min="4" max="4"/>
    <col width="30.4" customWidth="1" style="52" min="5" max="5"/>
    <col width="15" customWidth="1" style="52" min="6" max="6"/>
    <col width="12" customWidth="1" style="52" min="7" max="7"/>
    <col width="22.7" customWidth="1" style="52" min="8" max="8"/>
    <col width="12.8" customWidth="1" style="52" min="9" max="9"/>
  </cols>
  <sheetData>
    <row r="1"/>
    <row r="2">
      <c r="B2" s="219" t="inlineStr">
        <is>
          <t>大金空調設備統計總表</t>
        </is>
      </c>
    </row>
    <row r="3"/>
    <row r="4">
      <c r="B4" s="220" t="inlineStr">
        <is>
          <t>室內機型號</t>
        </is>
      </c>
      <c r="C4" s="220" t="inlineStr">
        <is>
          <t>室內機台數</t>
        </is>
      </c>
      <c r="E4" s="220" t="inlineStr">
        <is>
          <t>室外機型號</t>
        </is>
      </c>
      <c r="F4" s="220" t="inlineStr">
        <is>
          <t>室外機台數</t>
        </is>
      </c>
      <c r="H4" s="220" t="inlineStr">
        <is>
          <t>全熱型號</t>
        </is>
      </c>
      <c r="I4" s="220" t="inlineStr">
        <is>
          <t>全熱台數</t>
        </is>
      </c>
    </row>
    <row r="5">
      <c r="B5" s="221" t="inlineStr">
        <is>
          <t>[家用] FTXV28UVLT</t>
        </is>
      </c>
      <c r="C5" s="222" t="n">
        <v>1</v>
      </c>
      <c r="E5" s="221" t="inlineStr">
        <is>
          <t>[家用1對1系統] RXV28UVLT</t>
        </is>
      </c>
      <c r="F5" s="222" t="n">
        <v>1</v>
      </c>
      <c r="H5" s="221" t="inlineStr">
        <is>
          <t>[全熱] VAM500GVLT</t>
        </is>
      </c>
      <c r="I5" s="222" t="n">
        <v>2</v>
      </c>
    </row>
    <row r="6">
      <c r="B6" s="221" t="inlineStr">
        <is>
          <t>[VRV] FXDQ80NAVT</t>
        </is>
      </c>
      <c r="C6" s="222" t="n">
        <v>1</v>
      </c>
      <c r="E6" s="221" t="inlineStr">
        <is>
          <t>[VRV系統] RXYQ8AYLT</t>
        </is>
      </c>
      <c r="F6" s="222" t="n">
        <v>1</v>
      </c>
    </row>
    <row r="7">
      <c r="B7" s="221" t="inlineStr">
        <is>
          <t>[VRV] FXDQ50NDVT</t>
        </is>
      </c>
      <c r="C7" s="222" t="n">
        <v>1</v>
      </c>
    </row>
    <row r="8">
      <c r="B8" s="223" t="inlineStr">
        <is>
          <t>合計</t>
        </is>
      </c>
      <c r="C8" s="224" t="n">
        <v>3</v>
      </c>
      <c r="E8" s="223" t="inlineStr">
        <is>
          <t>合計</t>
        </is>
      </c>
      <c r="F8" s="224" t="n">
        <v>2</v>
      </c>
      <c r="H8" s="223" t="inlineStr">
        <is>
          <t>合計</t>
        </is>
      </c>
      <c r="I8" s="22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" customWidth="1" style="52" min="1" max="1"/>
    <col width="38.1" customWidth="1" style="52" min="2" max="2"/>
    <col width="12" customWidth="1" style="52" min="3" max="3"/>
  </cols>
  <sheetData>
    <row r="1"/>
    <row r="2">
      <c r="B2" s="219" t="inlineStr">
        <is>
          <t>空調系統套數與樹狀結構配比</t>
        </is>
      </c>
    </row>
    <row r="3"/>
    <row r="4">
      <c r="B4" s="225" t="inlineStr">
        <is>
          <t>系統結構 (室外機 -&gt; 配接室內機)</t>
        </is>
      </c>
      <c r="C4" s="220" t="inlineStr">
        <is>
          <t>台數</t>
        </is>
      </c>
    </row>
    <row r="5">
      <c r="B5" s="226" t="inlineStr">
        <is>
          <t>1. [VRV系統] RXYQ8AYLT</t>
        </is>
      </c>
      <c r="C5" s="227" t="n">
        <v>1</v>
      </c>
    </row>
    <row r="6">
      <c r="B6" s="228" t="inlineStr">
        <is>
          <t xml:space="preserve">    ├─ FXDQ80NAVT</t>
        </is>
      </c>
      <c r="C6" s="222" t="n">
        <v>1</v>
      </c>
    </row>
    <row r="7">
      <c r="B7" s="228" t="inlineStr">
        <is>
          <t xml:space="preserve">    └─ FXDQ50NDVT</t>
        </is>
      </c>
      <c r="C7" s="222" t="n">
        <v>1</v>
      </c>
    </row>
    <row r="8"/>
    <row r="9">
      <c r="B9" s="226" t="inlineStr">
        <is>
          <t>2. [家用1對1系統] RXV28UVLT</t>
        </is>
      </c>
      <c r="C9" s="227" t="n">
        <v>1</v>
      </c>
    </row>
    <row r="10">
      <c r="B10" s="228" t="inlineStr">
        <is>
          <t xml:space="preserve">    └─ FTXV28UVLT</t>
        </is>
      </c>
      <c r="C10" s="222" t="n">
        <v>1</v>
      </c>
    </row>
    <row r="11"/>
    <row r="12">
      <c r="B12" s="226" t="inlineStr">
        <is>
          <t>3. [空調系統] -</t>
        </is>
      </c>
      <c r="C12" s="227" t="n">
        <v>0</v>
      </c>
    </row>
    <row r="13">
      <c r="B13" s="228" t="inlineStr">
        <is>
          <t xml:space="preserve">    └─ VAM500GVLT</t>
        </is>
      </c>
      <c r="C13" s="2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3" customWidth="1" style="52" min="1" max="1"/>
    <col width="41.40000000000001" customWidth="1" style="52" min="2" max="2"/>
    <col width="20.5" customWidth="1" style="52" min="3" max="3"/>
    <col width="12" customWidth="1" style="52" min="4" max="4"/>
    <col width="24.9" customWidth="1" style="52" min="5" max="5"/>
    <col width="18.3" customWidth="1" style="52" min="6" max="6"/>
    <col width="12" customWidth="1" style="52" min="7" max="7"/>
    <col width="40.3" customWidth="1" style="52" min="8" max="8"/>
    <col width="12" customWidth="1" style="52" min="9" max="9"/>
    <col width="12" customWidth="1" style="52" min="10" max="10"/>
  </cols>
  <sheetData>
    <row r="1"/>
    <row r="2">
      <c r="B2" s="219" t="inlineStr">
        <is>
          <t>大金 D3-NET 集中控制通訊埠分析報告</t>
        </is>
      </c>
    </row>
    <row r="3"/>
    <row r="4">
      <c r="B4" s="220" t="inlineStr">
        <is>
          <t>室內/全熱機型號</t>
        </is>
      </c>
      <c r="C4" s="220" t="inlineStr">
        <is>
          <t>室內/全熱機台數</t>
        </is>
      </c>
      <c r="E4" s="220" t="inlineStr">
        <is>
          <t>VRV室外機型號</t>
        </is>
      </c>
      <c r="F4" s="220" t="inlineStr">
        <is>
          <t>VRV室外機台數</t>
        </is>
      </c>
      <c r="H4" s="229" t="inlineStr">
        <is>
          <t>【D3-NET 通訊通道試算結果】</t>
        </is>
      </c>
    </row>
    <row r="5">
      <c r="B5" s="221" t="inlineStr">
        <is>
          <t>[家用] FTXV28UVLT</t>
        </is>
      </c>
      <c r="C5" s="222" t="n">
        <v>1</v>
      </c>
      <c r="E5" s="221" t="inlineStr">
        <is>
          <t>[VRV系統] RXYQ8AYLT</t>
        </is>
      </c>
      <c r="F5" s="222" t="n">
        <v>1</v>
      </c>
      <c r="H5" s="230" t="inlineStr">
        <is>
          <t>VRV 室外機總台數 (上限 10台/Port)</t>
        </is>
      </c>
      <c r="J5" s="231" t="n">
        <v>1</v>
      </c>
    </row>
    <row r="6">
      <c r="B6" s="221" t="inlineStr">
        <is>
          <t>[VRV] FXDQ80NAVT</t>
        </is>
      </c>
      <c r="C6" s="222" t="n">
        <v>1</v>
      </c>
      <c r="H6" s="230" t="inlineStr">
        <is>
          <t>總室內/全熱機數 (上限 64台/Port)</t>
        </is>
      </c>
      <c r="J6" s="231" t="n">
        <v>5</v>
      </c>
    </row>
    <row r="7">
      <c r="B7" s="221" t="inlineStr">
        <is>
          <t>[VRV] FXDQ50NDVT</t>
        </is>
      </c>
      <c r="C7" s="222" t="n">
        <v>1</v>
      </c>
      <c r="H7" s="230" t="inlineStr">
        <is>
          <t>建議集中控制器 Port 數</t>
        </is>
      </c>
      <c r="J7" s="232" t="inlineStr">
        <is>
          <t>1 Port</t>
        </is>
      </c>
    </row>
    <row r="8">
      <c r="B8" s="221" t="inlineStr">
        <is>
          <t>[全熱] VAM500GVLT</t>
        </is>
      </c>
      <c r="C8" s="222" t="n">
        <v>2</v>
      </c>
    </row>
    <row r="9">
      <c r="B9" s="223" t="inlineStr">
        <is>
          <t>合計</t>
        </is>
      </c>
      <c r="C9" s="224" t="n">
        <v>5</v>
      </c>
      <c r="E9" s="223" t="inlineStr">
        <is>
          <t>合計</t>
        </is>
      </c>
      <c r="F9" s="224" t="n">
        <v>1</v>
      </c>
    </row>
  </sheetData>
  <mergeCells count="4">
    <mergeCell ref="H5:I5"/>
    <mergeCell ref="H7:I7"/>
    <mergeCell ref="H6:I6"/>
    <mergeCell ref="H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宇涵 黃</dc:creator>
  <dcterms:created xsi:type="dcterms:W3CDTF">2025-12-30T14:27:39Z</dcterms:created>
  <dcterms:modified xsi:type="dcterms:W3CDTF">2026-09-06T15:31:22Z</dcterms:modified>
  <cp:lastModifiedBy>宇涵 黃</cp:lastModifiedBy>
</cp:coreProperties>
</file>