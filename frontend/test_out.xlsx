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2" name="選機" state="visible" r:id="rId4"/>
    <sheet sheetId="9" name="資料庫" state="hidden" r:id="rId5"/>
  </sheets>
  <definedNames>
    <definedName name="_xlnm._FilterDatabase">'選機'!$A$8:$BF$8</definedName>
    <definedName name="VRV能力">'[1]不要刪'!$B$2:$B$13</definedName>
    <definedName name="VRV機型">'[3]不要刪'!$A$2:$A$14</definedName>
    <definedName name="室內機冷房能力">'資料庫'!$C$5:$C$300</definedName>
    <definedName name="室內機型號">'資料庫'!$B$5:$B$300</definedName>
    <definedName name="室內機電源">'資料庫'!$F$5:$F$300</definedName>
    <definedName name="室內機標稱能力">'資料庫'!$E$5:$E$300</definedName>
    <definedName name="室外機冷房能力">'資料庫'!$N$5:$N$300</definedName>
    <definedName name="室外機型號">'資料庫'!$M$5:$M$300</definedName>
    <definedName name="室外機能力">'資料庫'!$N$5:$N$300</definedName>
    <definedName name="室外機電源">'資料庫'!$Q$5:$Q$300</definedName>
    <definedName name="室外機標稱能力">'資料庫'!$O$5:$O$300</definedName>
    <definedName name="商用能力">'[1]不要刪'!$F$2:$F$5</definedName>
    <definedName name="商用機型">'[1]不要刪'!$E$2:$E$5</definedName>
    <definedName name="額定能力">'[3]不要刪'!$B$2:$B$14</definedName>
    <definedName name="_xlnm.Print_Area" localSheetId="0">'選機'!$A1:$BF58</definedName>
    <definedName name="_xlnm.Print_Titles" localSheetId="0">'選機'!$1:$8</definedName>
  </definedNames>
  <calcPr calcId="171027"/>
</workbook>
</file>

<file path=xl/sharedStrings.xml><?xml version="1.0" encoding="utf-8"?>
<sst xmlns="http://schemas.openxmlformats.org/spreadsheetml/2006/main" count="2467" uniqueCount="720">
  <si>
    <t>空調系統設計</t>
  </si>
  <si>
    <t>【選機表】</t>
  </si>
  <si>
    <t>工程名稱：</t>
  </si>
  <si>
    <t>製表日期：</t>
  </si>
  <si>
    <t xml:space="preserve">樓
層</t>
  </si>
  <si>
    <t xml:space="preserve">棟
別</t>
  </si>
  <si>
    <r>
      <rPr>
        <charset val="136"/>
        <family val="4"/>
        <sz val="11"/>
        <rFont val="標楷體"/>
      </rPr>
      <t xml:space="preserve">科室
編號</t>
    </r>
  </si>
  <si>
    <r>
      <rPr>
        <charset val="136"/>
        <family val="4"/>
        <sz val="12"/>
        <rFont val="標楷體"/>
      </rPr>
      <t>室</t>
    </r>
    <r>
      <rPr>
        <family val="2"/>
        <sz val="12"/>
        <rFont val="Arial"/>
      </rPr>
      <t xml:space="preserve">  </t>
    </r>
    <r>
      <rPr>
        <charset val="136"/>
        <family val="4"/>
        <sz val="12"/>
        <rFont val="標楷體"/>
      </rPr>
      <t>名</t>
    </r>
  </si>
  <si>
    <r>
      <rPr>
        <charset val="136"/>
        <family val="4"/>
        <sz val="12"/>
        <rFont val="標楷體"/>
      </rPr>
      <t>面積</t>
    </r>
  </si>
  <si>
    <r>
      <rPr>
        <charset val="136"/>
        <family val="4"/>
        <sz val="12"/>
        <rFont val="標楷體"/>
      </rPr>
      <t>坪數</t>
    </r>
  </si>
  <si>
    <r>
      <rPr>
        <charset val="136"/>
        <family val="4"/>
        <sz val="12"/>
        <rFont val="標楷體"/>
      </rPr>
      <t>樓高</t>
    </r>
  </si>
  <si>
    <t xml:space="preserve">每坪建議
負荷值</t>
  </si>
  <si>
    <r>
      <rPr>
        <charset val="136"/>
        <family val="4"/>
        <sz val="12"/>
        <rFont val="標楷體"/>
      </rPr>
      <t>總熱負荷</t>
    </r>
  </si>
  <si>
    <t>室內機</t>
  </si>
  <si>
    <r>
      <rPr>
        <charset val="136"/>
        <family val="4"/>
        <sz val="12"/>
        <rFont val="標楷體"/>
      </rPr>
      <t>室內冷房能力小計</t>
    </r>
  </si>
  <si>
    <r>
      <rPr>
        <charset val="136"/>
        <family val="4"/>
        <sz val="12"/>
        <rFont val="標楷體"/>
      </rPr>
      <t>標稱能力</t>
    </r>
    <r>
      <rPr>
        <family val="4"/>
        <sz val="12"/>
        <rFont val="Arial"/>
      </rPr>
      <t xml:space="preserve">
</t>
    </r>
    <r>
      <rPr>
        <charset val="136"/>
        <family val="4"/>
        <sz val="12"/>
        <rFont val="標楷體"/>
      </rPr>
      <t>小計</t>
    </r>
  </si>
  <si>
    <t xml:space="preserve">耗電量
小計</t>
  </si>
  <si>
    <r>
      <rPr>
        <charset val="136"/>
        <family val="4"/>
        <sz val="12"/>
        <rFont val="標楷體"/>
      </rPr>
      <t xml:space="preserve">每坪平均
負荷值</t>
    </r>
  </si>
  <si>
    <r>
      <rPr>
        <charset val="136"/>
        <family val="4"/>
        <sz val="12"/>
        <rFont val="標楷體"/>
      </rPr>
      <t>室外機</t>
    </r>
  </si>
  <si>
    <t>備註</t>
  </si>
  <si>
    <t>全熱交換器</t>
  </si>
  <si>
    <r>
      <rPr>
        <charset val="136"/>
        <family val="4"/>
        <sz val="12"/>
        <rFont val="標楷體"/>
      </rPr>
      <t>吊隱式除濕機</t>
    </r>
  </si>
  <si>
    <r>
      <rPr>
        <charset val="136"/>
        <family val="4"/>
        <sz val="12"/>
        <rFont val="標楷體"/>
      </rPr>
      <t>控制器</t>
    </r>
  </si>
  <si>
    <r>
      <t>(</t>
    </r>
    <r>
      <rPr>
        <charset val="136"/>
        <family val="4"/>
        <sz val="12"/>
        <rFont val="標楷體"/>
      </rPr>
      <t>㎡</t>
    </r>
    <r>
      <rPr>
        <family val="2"/>
        <sz val="12"/>
        <rFont val="Arial"/>
      </rPr>
      <t>)</t>
    </r>
  </si>
  <si>
    <t>(P)</t>
  </si>
  <si>
    <t>(m)</t>
  </si>
  <si>
    <r>
      <t>(kcal/hr/</t>
    </r>
    <r>
      <rPr>
        <charset val="136"/>
        <family val="2"/>
        <sz val="12"/>
        <rFont val="細明體"/>
      </rPr>
      <t>坪</t>
    </r>
    <r>
      <rPr>
        <family val="2"/>
        <sz val="12"/>
        <rFont val="Arial"/>
      </rPr>
      <t>)</t>
    </r>
  </si>
  <si>
    <r>
      <t>(kcal/hr/</t>
    </r>
    <r>
      <rPr>
        <family val="2"/>
        <sz val="12"/>
        <rFont val="Segoe UI Symbol"/>
      </rPr>
      <t>㎡</t>
    </r>
    <r>
      <rPr>
        <family val="2"/>
        <sz val="12"/>
        <rFont val="Arial"/>
      </rPr>
      <t>)</t>
    </r>
  </si>
  <si>
    <r>
      <t>(W/</t>
    </r>
    <r>
      <rPr>
        <family val="4"/>
        <sz val="12"/>
        <rFont val="Segoe UI Symbol"/>
      </rPr>
      <t>㎡</t>
    </r>
    <r>
      <rPr>
        <family val="4"/>
        <sz val="12"/>
        <rFont val="Arial"/>
      </rPr>
      <t>)</t>
    </r>
  </si>
  <si>
    <r>
      <t>(kW/</t>
    </r>
    <r>
      <rPr>
        <charset val="136"/>
        <family val="4"/>
        <sz val="12"/>
        <rFont val="標楷體"/>
      </rPr>
      <t>坪</t>
    </r>
    <r>
      <rPr>
        <family val="2"/>
        <sz val="12"/>
        <rFont val="Arial"/>
      </rPr>
      <t>)</t>
    </r>
  </si>
  <si>
    <t>(kW)</t>
  </si>
  <si>
    <t>(kcal/hr)</t>
  </si>
  <si>
    <t>室內機型號</t>
  </si>
  <si>
    <t xml:space="preserve">室內機台
數</t>
  </si>
  <si>
    <r>
      <rPr>
        <charset val="136"/>
        <family val="4"/>
        <sz val="12"/>
        <rFont val="標楷體"/>
      </rPr>
      <t xml:space="preserve">冷房能力
</t>
    </r>
    <r>
      <rPr>
        <family val="2"/>
        <sz val="12"/>
        <rFont val="Arial"/>
      </rPr>
      <t>(kcal/hr)</t>
    </r>
  </si>
  <si>
    <r>
      <rPr>
        <charset val="136"/>
        <family val="4"/>
        <sz val="12"/>
        <rFont val="標楷體"/>
      </rPr>
      <t xml:space="preserve">冷房能力
</t>
    </r>
    <r>
      <rPr>
        <family val="2"/>
        <sz val="12"/>
        <rFont val="Arial"/>
      </rPr>
      <t>(kW)</t>
    </r>
  </si>
  <si>
    <t xml:space="preserve">標稱
能力</t>
  </si>
  <si>
    <r>
      <rPr>
        <charset val="136"/>
        <family val="4"/>
        <sz val="12"/>
        <rFont val="標楷體"/>
      </rPr>
      <t>電源</t>
    </r>
  </si>
  <si>
    <r>
      <rPr>
        <charset val="136"/>
        <family val="4"/>
        <sz val="12"/>
        <rFont val="標楷體"/>
      </rPr>
      <t xml:space="preserve">單台
耗電量
</t>
    </r>
    <r>
      <rPr>
        <family val="2"/>
        <sz val="12"/>
        <rFont val="Arial"/>
      </rPr>
      <t>(kW)</t>
    </r>
  </si>
  <si>
    <r>
      <rPr>
        <charset val="136"/>
        <family val="4"/>
        <sz val="12"/>
        <rFont val="標楷體"/>
      </rPr>
      <t xml:space="preserve">單台
最大電流
</t>
    </r>
    <r>
      <rPr>
        <family val="2"/>
        <sz val="12"/>
        <rFont val="Arial"/>
      </rPr>
      <t>(A)</t>
    </r>
  </si>
  <si>
    <r>
      <rPr>
        <charset val="136"/>
        <family val="4"/>
        <sz val="12"/>
        <rFont val="標楷體"/>
      </rPr>
      <t>尺寸</t>
    </r>
    <r>
      <rPr>
        <family val="2"/>
        <sz val="12"/>
        <rFont val="Arial"/>
      </rPr>
      <t xml:space="preserve">mm
(H×W×D)</t>
    </r>
  </si>
  <si>
    <t>kW</t>
  </si>
  <si>
    <r>
      <t>(kcal/hr/</t>
    </r>
    <r>
      <rPr>
        <charset val="136"/>
        <family val="4"/>
        <sz val="12"/>
        <rFont val="標楷體"/>
      </rPr>
      <t>坪</t>
    </r>
    <r>
      <rPr>
        <family val="2"/>
        <sz val="12"/>
        <rFont val="Arial"/>
      </rPr>
      <t>)</t>
    </r>
  </si>
  <si>
    <r>
      <t>(</t>
    </r>
    <r>
      <rPr>
        <charset val="136"/>
        <family val="4"/>
        <sz val="12"/>
        <rFont val="標楷體"/>
      </rPr>
      <t>坪</t>
    </r>
    <r>
      <rPr>
        <family val="2"/>
        <sz val="12"/>
        <rFont val="Arial"/>
      </rPr>
      <t>/USRT)</t>
    </r>
  </si>
  <si>
    <t>室外機型號</t>
  </si>
  <si>
    <t xml:space="preserve">室外機台
數</t>
  </si>
  <si>
    <r>
      <rPr>
        <charset val="136"/>
        <family val="4"/>
        <sz val="12"/>
        <rFont val="標楷體"/>
      </rPr>
      <t xml:space="preserve">連結率
</t>
    </r>
    <r>
      <rPr>
        <family val="2"/>
        <sz val="12"/>
        <rFont val="Arial"/>
      </rPr>
      <t>%</t>
    </r>
  </si>
  <si>
    <r>
      <rPr>
        <charset val="136"/>
        <family val="4"/>
        <sz val="12"/>
        <rFont val="標楷體"/>
      </rPr>
      <t xml:space="preserve">耗電量
</t>
    </r>
    <r>
      <rPr>
        <family val="2"/>
        <sz val="12"/>
        <rFont val="Arial"/>
      </rPr>
      <t>(kW)</t>
    </r>
  </si>
  <si>
    <t>電源</t>
  </si>
  <si>
    <r>
      <rPr>
        <charset val="136"/>
        <family val="4"/>
        <sz val="12"/>
        <rFont val="標楷體"/>
      </rPr>
      <t xml:space="preserve">電路
最大電流
</t>
    </r>
    <r>
      <rPr>
        <family val="2"/>
        <sz val="12"/>
        <rFont val="Arial"/>
      </rPr>
      <t>(A)</t>
    </r>
  </si>
  <si>
    <r>
      <rPr>
        <charset val="136"/>
        <family val="4"/>
        <sz val="12"/>
        <rFont val="標楷體"/>
      </rPr>
      <t>保險絲</t>
    </r>
    <r>
      <rPr>
        <family val="4"/>
        <sz val="12"/>
        <rFont val="Arial"/>
      </rPr>
      <t xml:space="preserve">
</t>
    </r>
    <r>
      <rPr>
        <charset val="136"/>
        <family val="4"/>
        <sz val="12"/>
        <rFont val="標楷體"/>
      </rPr>
      <t>最大電流</t>
    </r>
    <r>
      <rPr>
        <family val="4"/>
        <sz val="12"/>
        <rFont val="Arial"/>
      </rPr>
      <t xml:space="preserve">
</t>
    </r>
    <r>
      <rPr>
        <family val="2"/>
        <sz val="12"/>
        <rFont val="Arial"/>
      </rPr>
      <t>(A)</t>
    </r>
  </si>
  <si>
    <t xml:space="preserve">人員密度
(人/㎡)</t>
  </si>
  <si>
    <t xml:space="preserve">預計人數
(人)</t>
  </si>
  <si>
    <r>
      <t xml:space="preserve">風量規劃基準
(</t>
    </r>
    <r>
      <rPr>
        <family val="2"/>
        <sz val="12"/>
        <rFont val="Arial"/>
      </rPr>
      <t>m</t>
    </r>
    <r>
      <rPr>
        <charset val="136"/>
        <family val="2"/>
        <sz val="12"/>
        <rFont val="標楷體"/>
      </rPr>
      <t>³</t>
    </r>
    <r>
      <rPr>
        <family val="2"/>
        <sz val="12"/>
        <rFont val="Arial"/>
      </rPr>
      <t>/hr</t>
    </r>
    <r>
      <rPr>
        <charset val="136"/>
        <family val="4"/>
        <sz val="12"/>
        <rFont val="標楷體"/>
      </rPr>
      <t>/人)</t>
    </r>
  </si>
  <si>
    <r>
      <rPr>
        <charset val="136"/>
        <family val="4"/>
        <sz val="12"/>
        <rFont val="標楷體"/>
      </rPr>
      <t xml:space="preserve">室內需求風量
</t>
    </r>
    <r>
      <rPr>
        <family val="2"/>
        <sz val="12"/>
        <rFont val="Arial"/>
      </rPr>
      <t>(m³/hr)</t>
    </r>
  </si>
  <si>
    <r>
      <rPr>
        <charset val="136"/>
        <family val="4"/>
        <sz val="12"/>
        <rFont val="標楷體"/>
      </rPr>
      <t xml:space="preserve">加總風量
</t>
    </r>
    <r>
      <rPr>
        <family val="2"/>
        <sz val="12"/>
        <rFont val="Arial"/>
      </rPr>
      <t>(m³/hr)</t>
    </r>
  </si>
  <si>
    <t>全熱型號</t>
  </si>
  <si>
    <t xml:space="preserve">全熱台
數</t>
  </si>
  <si>
    <r>
      <rPr>
        <charset val="136"/>
        <family val="4"/>
        <sz val="12"/>
        <rFont val="標楷體"/>
      </rPr>
      <t>型號</t>
    </r>
  </si>
  <si>
    <t xml:space="preserve">台
數</t>
  </si>
  <si>
    <t xml:space="preserve">數
量</t>
  </si>
  <si>
    <t>2F</t>
  </si>
  <si>
    <t>測試空間</t>
  </si>
  <si>
    <t>VRV室內機</t>
  </si>
  <si>
    <t>VRV室外機</t>
  </si>
  <si>
    <t>型號</t>
  </si>
  <si>
    <t>冷房能力(kW)</t>
  </si>
  <si>
    <t>型式</t>
  </si>
  <si>
    <t>標稱能力</t>
  </si>
  <si>
    <t>電源(φ-V-Hz)</t>
  </si>
  <si>
    <t>耗電量(kW)</t>
  </si>
  <si>
    <t>電流(A)</t>
  </si>
  <si>
    <t>最高靜壓(Pa)</t>
  </si>
  <si>
    <t xml:space="preserve">尺寸mm
(H×W×D)</t>
  </si>
  <si>
    <t xml:space="preserve">電源
(φ-W-V-Hz)</t>
  </si>
  <si>
    <t xml:space="preserve">額定冷房運轉電流
(A)</t>
  </si>
  <si>
    <t xml:space="preserve">保險絲最大電流
(A)</t>
  </si>
  <si>
    <t>吊隱式低靜壓(無排水泵)</t>
  </si>
  <si>
    <t>VRV mini</t>
  </si>
  <si>
    <t>VAM150HVLT</t>
  </si>
  <si>
    <t>單相/220V/60Hz</t>
  </si>
  <si>
    <t>278×551×810</t>
  </si>
  <si>
    <t>FXDQ20PDNVT</t>
  </si>
  <si>
    <t>吊隱式</t>
  </si>
  <si>
    <t>200×700×620</t>
  </si>
  <si>
    <t>RXYCQ4AVET</t>
  </si>
  <si>
    <t>990×940×320</t>
  </si>
  <si>
    <t>VAM250HVLT</t>
  </si>
  <si>
    <t>FXDQ25PDNVT</t>
  </si>
  <si>
    <t>RXYCQ5AVET</t>
  </si>
  <si>
    <t>VAM350HVLT</t>
  </si>
  <si>
    <t>306×800×879</t>
  </si>
  <si>
    <t>FXDQ32PDNVT</t>
  </si>
  <si>
    <t>RXYCQ6AVET</t>
  </si>
  <si>
    <t>VAM500HVLT</t>
  </si>
  <si>
    <t>338×832×973</t>
  </si>
  <si>
    <t>FXDQ40NDNVT</t>
  </si>
  <si>
    <t>200×900×620</t>
  </si>
  <si>
    <t>VAM650HVLT</t>
  </si>
  <si>
    <t>FXDQ50NDNVT</t>
  </si>
  <si>
    <t>VRV TBM</t>
  </si>
  <si>
    <t>VAM800HVLT</t>
  </si>
  <si>
    <t>387×1012×1110</t>
  </si>
  <si>
    <t>FXDQ63NDNVT</t>
  </si>
  <si>
    <t>200×1100×620</t>
  </si>
  <si>
    <t>RSUYQ112AVT</t>
  </si>
  <si>
    <t>870×1100×460</t>
  </si>
  <si>
    <t>VAM1000HVLT</t>
  </si>
  <si>
    <t>RSUYQ125AVT</t>
  </si>
  <si>
    <t>VAM1500HVLT</t>
  </si>
  <si>
    <t>785×1012×1110</t>
  </si>
  <si>
    <t>吊隱式低靜壓(有排水泵)</t>
  </si>
  <si>
    <t>RSUYQ140AVT</t>
  </si>
  <si>
    <t>VAM2000HVLT</t>
  </si>
  <si>
    <t>FXDQ20PDVT</t>
  </si>
  <si>
    <t>RSUYQ160AVT</t>
  </si>
  <si>
    <t>VAMF150HVLT</t>
  </si>
  <si>
    <t>FXDQ25PDVT</t>
  </si>
  <si>
    <t>VAMF250HVLT</t>
  </si>
  <si>
    <t>FXDQ32PDVT</t>
  </si>
  <si>
    <t>VRV IV-S</t>
  </si>
  <si>
    <t>VAMF350HVLT</t>
  </si>
  <si>
    <t>FXDQ40NDVT</t>
  </si>
  <si>
    <t>RXYMQ8TTLT</t>
  </si>
  <si>
    <t>3相/220V/60Hz</t>
  </si>
  <si>
    <t>1430×940×320</t>
  </si>
  <si>
    <t>FXDQ50NDVT</t>
  </si>
  <si>
    <t>RXYMQ10TTLT</t>
  </si>
  <si>
    <t>新鮮外氣建議量(2019綠建築)</t>
  </si>
  <si>
    <t>FXDQ63NDVT</t>
  </si>
  <si>
    <t>類型</t>
  </si>
  <si>
    <t>L/s．人</t>
  </si>
  <si>
    <t>CMH．人</t>
  </si>
  <si>
    <t>VRV III-S</t>
  </si>
  <si>
    <t>辦公室</t>
  </si>
  <si>
    <t>吊隱式中靜壓</t>
  </si>
  <si>
    <t>RXYMQ6TVET</t>
  </si>
  <si>
    <t>會議室</t>
  </si>
  <si>
    <t>FXSQ20PAVT</t>
  </si>
  <si>
    <t>245×550×800</t>
  </si>
  <si>
    <t>RXYMQ8TYLT</t>
  </si>
  <si>
    <t>3相/4線/380V/60Hz</t>
  </si>
  <si>
    <t>大廳、走廊</t>
  </si>
  <si>
    <t>FXSQ25PAVT</t>
  </si>
  <si>
    <t>RXYMQ10TYLT</t>
  </si>
  <si>
    <t>旅館客房</t>
  </si>
  <si>
    <t>FXSQ32PAVT</t>
  </si>
  <si>
    <t>旅館餐廳</t>
  </si>
  <si>
    <t>FXSQ40PAVT</t>
  </si>
  <si>
    <t>245×700×800</t>
  </si>
  <si>
    <t>VRV S</t>
  </si>
  <si>
    <t>旅館大廳、走廊</t>
  </si>
  <si>
    <t>FXSQ50PAVT</t>
  </si>
  <si>
    <t>245×1000×800</t>
  </si>
  <si>
    <t>RXYMQ10ARYLT</t>
  </si>
  <si>
    <t>1627×940×460</t>
  </si>
  <si>
    <t>旅館娛樂空間</t>
  </si>
  <si>
    <t>FXSQ63PAVT</t>
  </si>
  <si>
    <t>RXYMQ12ARYLT</t>
  </si>
  <si>
    <t>旅館行政服務空間</t>
  </si>
  <si>
    <t>FXSQ80PAVT</t>
  </si>
  <si>
    <t>旅館宴會空間</t>
  </si>
  <si>
    <t>FXSQ100PAVT</t>
  </si>
  <si>
    <t>245×1400×800</t>
  </si>
  <si>
    <t>VRV-A冷專式</t>
  </si>
  <si>
    <t>百貨商業空間</t>
  </si>
  <si>
    <t>FXSQ125PAVT</t>
  </si>
  <si>
    <t>RXQ8AYLT</t>
  </si>
  <si>
    <t>1657×930×765</t>
  </si>
  <si>
    <t>醫院病房</t>
  </si>
  <si>
    <t>每床</t>
  </si>
  <si>
    <t>FXSQ140PAVT</t>
  </si>
  <si>
    <t>245×1550×800</t>
  </si>
  <si>
    <t>RXQ10AYLT</t>
  </si>
  <si>
    <t>醫院行政、診療空間</t>
  </si>
  <si>
    <t>RXQ12AYLT</t>
  </si>
  <si>
    <t>醫院加護病房、護理站</t>
  </si>
  <si>
    <r>
      <t>每單位面積m</t>
    </r>
    <r>
      <rPr>
        <charset val="136"/>
        <color theme="1"/>
        <family val="1"/>
        <vertAlign val="superscript"/>
        <scheme val="major"/>
        <sz val="12"/>
        <rFont val="新細明體"/>
      </rPr>
      <t>2</t>
    </r>
  </si>
  <si>
    <t>吊隱式中高靜壓</t>
  </si>
  <si>
    <t>RXQ14AYLT</t>
  </si>
  <si>
    <t>1657×1240×765</t>
  </si>
  <si>
    <t>FXMQ20PAVT</t>
  </si>
  <si>
    <t>300×550×700</t>
  </si>
  <si>
    <t>RXQ16AYLT</t>
  </si>
  <si>
    <t>吊隱式除濕機</t>
  </si>
  <si>
    <t>FXMQ25PAVT</t>
  </si>
  <si>
    <t>RXQ18AYLT</t>
  </si>
  <si>
    <t>FXMQ32PAVT</t>
  </si>
  <si>
    <t>RXQ20AYLT</t>
  </si>
  <si>
    <t>HT016A</t>
  </si>
  <si>
    <t>FXMQ40PAVT</t>
  </si>
  <si>
    <t>300×700×700</t>
  </si>
  <si>
    <t>RXQ22ANYLT</t>
  </si>
  <si>
    <t>(1657×930×765)+(1657×930×765)</t>
  </si>
  <si>
    <t>HT046A1</t>
  </si>
  <si>
    <t>FXMQ50PAVT</t>
  </si>
  <si>
    <t>300×1000×700</t>
  </si>
  <si>
    <t>RXQ24ANYLT</t>
  </si>
  <si>
    <t>HT070SCT</t>
  </si>
  <si>
    <t>FXMQ63PAVT</t>
  </si>
  <si>
    <t>RXQ26ANYLT</t>
  </si>
  <si>
    <t>(1657×930×765)+(1657×1240×765)</t>
  </si>
  <si>
    <t>FXMQ80PAVT</t>
  </si>
  <si>
    <t>RXQ28ANYLT</t>
  </si>
  <si>
    <t>FXMQ100PAVT</t>
  </si>
  <si>
    <t>300×1400×700</t>
  </si>
  <si>
    <t>RXQ30ANYLT</t>
  </si>
  <si>
    <t>(1657*1240*765)+(1657*1240*765)</t>
  </si>
  <si>
    <t>FXMQ125PAVT</t>
  </si>
  <si>
    <t>RXQ32AN1YLT</t>
  </si>
  <si>
    <t>(1657*1240*765)+(1657*1240*766)</t>
  </si>
  <si>
    <t>FXMQ140PAVT</t>
  </si>
  <si>
    <t>RXQ34ANYLT</t>
  </si>
  <si>
    <t>(1657*1240*765)+(1657*1240*767)</t>
  </si>
  <si>
    <t>FXMQ200MVET</t>
  </si>
  <si>
    <t>470×1380×1100</t>
  </si>
  <si>
    <t>RXQ36AN1YLT</t>
  </si>
  <si>
    <t>(1657*1240*765)+(1657*1240*768)</t>
  </si>
  <si>
    <t>FXMQ250MVET</t>
  </si>
  <si>
    <t>RXQ38ANYLT</t>
  </si>
  <si>
    <t>(1657*1240*765)+(1657*1240*769)</t>
  </si>
  <si>
    <t>FXMQ200PVMT</t>
  </si>
  <si>
    <t>470×1490×1100</t>
  </si>
  <si>
    <t>RXQ40AN1YLT</t>
  </si>
  <si>
    <t>(1657*1240*765)+(1657*1240*770)</t>
  </si>
  <si>
    <t>FXMQ250PVMT</t>
  </si>
  <si>
    <t>RXQ42ANYLT</t>
  </si>
  <si>
    <t>(1657×930×765)+(1657×930×765)+(1657×1240×765)</t>
  </si>
  <si>
    <t>RXQ44ANYLT</t>
  </si>
  <si>
    <t>(1657×930×765)+(1657×930×765)+(1657×1240×766)</t>
  </si>
  <si>
    <t>外氣系列(出風溫度控制)</t>
  </si>
  <si>
    <t>RXQ46ANYLT</t>
  </si>
  <si>
    <t>(1657×1240×765)+(1657×1240×765)+(1657×1240×765)</t>
  </si>
  <si>
    <t>FXMQ48MFVJU</t>
  </si>
  <si>
    <t>470×744×1100</t>
  </si>
  <si>
    <t>RXQ48AN1YLT</t>
  </si>
  <si>
    <t>FXMQ72MFVJU</t>
  </si>
  <si>
    <t>RXQ50ANYLT</t>
  </si>
  <si>
    <t>FXMQ96MFVJU</t>
  </si>
  <si>
    <t>RXQ52AN1YLT</t>
  </si>
  <si>
    <t>外氣系列(回風溫度控制)</t>
  </si>
  <si>
    <t>RXQ54ANYLT</t>
  </si>
  <si>
    <t>FXMQ80AFVLT</t>
  </si>
  <si>
    <t>RXQ56AN1YLT</t>
  </si>
  <si>
    <t>FXMQ140AFVLT</t>
  </si>
  <si>
    <t>RXQ58ANYLT</t>
  </si>
  <si>
    <t>FXMQ200AFVLT</t>
  </si>
  <si>
    <t>RXQ60ANYLT</t>
  </si>
  <si>
    <t>FXMQ250AFVLT</t>
  </si>
  <si>
    <t>VRV-A高效率型</t>
  </si>
  <si>
    <t>單點式空調</t>
  </si>
  <si>
    <t>RXQ16AHYLT</t>
  </si>
  <si>
    <t>FXPQ25AVN</t>
  </si>
  <si>
    <t>單點式</t>
  </si>
  <si>
    <t>455×555×470</t>
  </si>
  <si>
    <t>RXQ18AHYLT</t>
  </si>
  <si>
    <t>RXQ20AHYLT</t>
  </si>
  <si>
    <t>嵌入式全方吹(一般型)</t>
  </si>
  <si>
    <t>RXQ24AHYLT</t>
  </si>
  <si>
    <t>(1657×930×765)+(1657×930×765)+(1657×930×765)</t>
  </si>
  <si>
    <t>FXFQ25BVT</t>
  </si>
  <si>
    <t>嵌入式</t>
  </si>
  <si>
    <t>256×840×840</t>
  </si>
  <si>
    <t>RXQ26AHYLT</t>
  </si>
  <si>
    <t>FXFQ32BVT</t>
  </si>
  <si>
    <t>RXQ28AHYLT</t>
  </si>
  <si>
    <t>FXFQ40BVT</t>
  </si>
  <si>
    <t>RXQ30AHYLT</t>
  </si>
  <si>
    <t>FXFQ50BVT</t>
  </si>
  <si>
    <t>RXQ32AHYLT</t>
  </si>
  <si>
    <t>FXFQ63BVT</t>
  </si>
  <si>
    <t>RXQ34AHYLT</t>
  </si>
  <si>
    <t>FXFQ80BVT</t>
  </si>
  <si>
    <t>RXQ36AHYLT</t>
  </si>
  <si>
    <t>FXFQ100BVT</t>
  </si>
  <si>
    <t>298×840×840</t>
  </si>
  <si>
    <t>RXQ38AHYLT</t>
  </si>
  <si>
    <t>FXFQ125BVT</t>
  </si>
  <si>
    <t>RXQ40AHYLT</t>
  </si>
  <si>
    <t>(1657×930×765)+(1657×1240×765)+(1657×1240×765)</t>
  </si>
  <si>
    <t>FXFQ140BVT</t>
  </si>
  <si>
    <t>RXQ42AHYLT</t>
  </si>
  <si>
    <t>RXQ44AHYLT</t>
  </si>
  <si>
    <t>嵌入式全方吹(智慧感應型)</t>
  </si>
  <si>
    <t>RXQ46AHYLT</t>
  </si>
  <si>
    <t>FXFSQ25BVT</t>
  </si>
  <si>
    <t>RXQ48AHYLT</t>
  </si>
  <si>
    <t>FXFSQ32BVT</t>
  </si>
  <si>
    <t>FXFSQ40BVT</t>
  </si>
  <si>
    <t>VRV-H標準型</t>
  </si>
  <si>
    <t>FXFSQ50BVT</t>
  </si>
  <si>
    <t>RXYQ8AYLT</t>
  </si>
  <si>
    <t>FXFSQ63BVT</t>
  </si>
  <si>
    <t>RXYQ10AYLT</t>
  </si>
  <si>
    <t>FXFSQ80BVT</t>
  </si>
  <si>
    <t>RXYQ12AYLT</t>
  </si>
  <si>
    <t>FXFSQ100BVT</t>
  </si>
  <si>
    <t>RXYQ14AYLT</t>
  </si>
  <si>
    <t>FXFSQ125BVT</t>
  </si>
  <si>
    <t>RXYQ16AYLT</t>
  </si>
  <si>
    <t>FXFSQ140BVT</t>
  </si>
  <si>
    <t>RXYQ18AYLT</t>
  </si>
  <si>
    <t>RXYQ20AYLT</t>
  </si>
  <si>
    <t>壁掛式</t>
  </si>
  <si>
    <t>RXYQ22ANYLT</t>
  </si>
  <si>
    <t>FXAQ20AVLT</t>
  </si>
  <si>
    <t>290×795×266</t>
  </si>
  <si>
    <t>RXYQ24ANYLT</t>
  </si>
  <si>
    <t>FXAQ25AVLT</t>
  </si>
  <si>
    <t>RXYQ26ANYLT</t>
  </si>
  <si>
    <t>FXAQ32AVLT</t>
  </si>
  <si>
    <t>RXYQ28ANYLT</t>
  </si>
  <si>
    <t>FXAQ40AVLT</t>
  </si>
  <si>
    <t>290×1050×269</t>
  </si>
  <si>
    <t>RXYQ30ANYLT</t>
  </si>
  <si>
    <t>FXAQ50AVLT</t>
  </si>
  <si>
    <t>RXYQ32ANYLT</t>
  </si>
  <si>
    <t>FXAQ63AVLT</t>
  </si>
  <si>
    <t>RXYQ34ANYLT</t>
  </si>
  <si>
    <t>RXYQ36ANYLT</t>
  </si>
  <si>
    <t>天吊式</t>
  </si>
  <si>
    <t>RXYQ38ANYLT</t>
  </si>
  <si>
    <t>FXHQ32MVET</t>
  </si>
  <si>
    <t>195×960×680</t>
  </si>
  <si>
    <t>RXYQ40ANYLT</t>
  </si>
  <si>
    <t>FXHQ63MVET</t>
  </si>
  <si>
    <t>195×1160×680</t>
  </si>
  <si>
    <t>RXYQ42ANYLT</t>
  </si>
  <si>
    <t>FXHQ100MVET</t>
  </si>
  <si>
    <t>195×1400×680</t>
  </si>
  <si>
    <t>RXYQ44ANYLT</t>
  </si>
  <si>
    <t>RXYQ46ANYLT</t>
  </si>
  <si>
    <t>落地箱型機</t>
  </si>
  <si>
    <t>RXYQ48ANYLT</t>
  </si>
  <si>
    <t>FXVQ250NTL</t>
  </si>
  <si>
    <t>箱型機</t>
  </si>
  <si>
    <t>1670×1170×510</t>
  </si>
  <si>
    <t>RXYQ50ANYLT</t>
  </si>
  <si>
    <t>FXVQ400NTL</t>
  </si>
  <si>
    <t>1900×1170×720</t>
  </si>
  <si>
    <t>RXYQ52ANYLT</t>
  </si>
  <si>
    <t>FXVQ500NTL</t>
  </si>
  <si>
    <t>1900×1470×720</t>
  </si>
  <si>
    <t>RXYQ54ANYLT</t>
  </si>
  <si>
    <t>RXYQ56ANYLT</t>
  </si>
  <si>
    <t>嵌入式(小型多方吹)</t>
  </si>
  <si>
    <t>RXYQ58ANYLT</t>
  </si>
  <si>
    <t>FXZQ20BVLT</t>
  </si>
  <si>
    <t>260×575×575</t>
  </si>
  <si>
    <t>RXYQ60ANYLT</t>
  </si>
  <si>
    <t>FXZQ25BVLT</t>
  </si>
  <si>
    <t>FXZQ32BVLT</t>
  </si>
  <si>
    <t>VRV-H高效率型</t>
  </si>
  <si>
    <t>FXZQ40BVLT</t>
  </si>
  <si>
    <t>RXYQ16AHYLT</t>
  </si>
  <si>
    <t>FXZQ50BVLT</t>
  </si>
  <si>
    <t>RXYQ18AHYLT</t>
  </si>
  <si>
    <t>RXYQ20AHYLT</t>
  </si>
  <si>
    <t>嵌入式(雙向吹)</t>
  </si>
  <si>
    <t>RXYQ22AHYLT</t>
  </si>
  <si>
    <t>FXCQ20AVT</t>
  </si>
  <si>
    <t>305×775×620</t>
  </si>
  <si>
    <t>RXYQ24AHYLT</t>
  </si>
  <si>
    <t>FXCQ25AVT</t>
  </si>
  <si>
    <t>RXYQ26AHYLT</t>
  </si>
  <si>
    <t>FXCQ32AVT</t>
  </si>
  <si>
    <t>RXYQ28AHYLT</t>
  </si>
  <si>
    <t>(1657×1240×765)+(1657×1240×765)</t>
  </si>
  <si>
    <t>FXCQ40AVT</t>
  </si>
  <si>
    <t>RXYQ30AHYLT</t>
  </si>
  <si>
    <t>FXCQ50AVT</t>
  </si>
  <si>
    <t>305×990×620</t>
  </si>
  <si>
    <t>RXYQ32AHYLT</t>
  </si>
  <si>
    <t>FXCQ63AVT</t>
  </si>
  <si>
    <t>RXYQ34AHYLT</t>
  </si>
  <si>
    <t>FXCQ80AVT</t>
  </si>
  <si>
    <t>305×1445×620</t>
  </si>
  <si>
    <t>RXYQ36AHYLT</t>
  </si>
  <si>
    <t>FXCQ125AVT</t>
  </si>
  <si>
    <t>RXYQ38AHYLT</t>
  </si>
  <si>
    <t>RXYQ40AHYLT</t>
  </si>
  <si>
    <t>家用系列(小型多方吹)</t>
  </si>
  <si>
    <t>RXYQ42AHYLT</t>
  </si>
  <si>
    <t>FFQ25JVLT</t>
  </si>
  <si>
    <t>55×700×700</t>
  </si>
  <si>
    <t>RXYQ44AHYLT</t>
  </si>
  <si>
    <t>FFQ30JVLT</t>
  </si>
  <si>
    <t>RXYQ46AHYLT</t>
  </si>
  <si>
    <t>FFQ40JVLT</t>
  </si>
  <si>
    <t>RXYQ48AHYLT</t>
  </si>
  <si>
    <t>FFQ50JVLT</t>
  </si>
  <si>
    <t>橫綱S</t>
  </si>
  <si>
    <t>FFQ60JVLT</t>
  </si>
  <si>
    <t>VRV III (一般型)</t>
  </si>
  <si>
    <t>FTXM22SVLT</t>
  </si>
  <si>
    <t>-</t>
  </si>
  <si>
    <t>室外機供電</t>
  </si>
  <si>
    <t>RXM22SVLT</t>
  </si>
  <si>
    <t>匹配室內機能力</t>
  </si>
  <si>
    <t>RXYQ8PTLT</t>
  </si>
  <si>
    <t>1680×930×765</t>
  </si>
  <si>
    <t>FTXM28SVLT</t>
  </si>
  <si>
    <t>RXM28SVLT</t>
  </si>
  <si>
    <t>家用系列(吊隱式)</t>
  </si>
  <si>
    <t>RXYQ10PTLT</t>
  </si>
  <si>
    <t>FTXM36SVLT</t>
  </si>
  <si>
    <t>RXM36SVLT</t>
  </si>
  <si>
    <t>CDXS25EAVMT</t>
  </si>
  <si>
    <t>RXYQ12PTLT</t>
  </si>
  <si>
    <t>1680×1240×765</t>
  </si>
  <si>
    <t>FTXM41SVLT</t>
  </si>
  <si>
    <t>RXM41SVLT</t>
  </si>
  <si>
    <t>CDXS30JVLT</t>
  </si>
  <si>
    <t>RXYQ14PTLT</t>
  </si>
  <si>
    <t>1680×1240×766</t>
  </si>
  <si>
    <t>FTXM50SVLT</t>
  </si>
  <si>
    <t>RXM50SVLT</t>
  </si>
  <si>
    <t>CDXS40JVLT</t>
  </si>
  <si>
    <t>RXYQ16PTLT</t>
  </si>
  <si>
    <t>1680×1240×767</t>
  </si>
  <si>
    <t>FTXM60SVLT</t>
  </si>
  <si>
    <t>RXM60SVLT</t>
  </si>
  <si>
    <t>CDXS50DVMT</t>
  </si>
  <si>
    <t>RXYQ18PTLT</t>
  </si>
  <si>
    <t>(1680×930×767)+(1680×930×767)</t>
  </si>
  <si>
    <t>FTXM71SVLT</t>
  </si>
  <si>
    <t>RXM71SVLT</t>
  </si>
  <si>
    <t>CDXS60DVMT</t>
  </si>
  <si>
    <t>RXYQ20PTLT</t>
  </si>
  <si>
    <t>RXYQ22PTLT</t>
  </si>
  <si>
    <t>(1680×930×767)+(1680×1240×767)</t>
  </si>
  <si>
    <t>家用系列(壁掛式)</t>
  </si>
  <si>
    <t>RXYQ24PTLT</t>
  </si>
  <si>
    <t>經典R</t>
  </si>
  <si>
    <t>FTXS20KVLT</t>
  </si>
  <si>
    <t>295×800×215</t>
  </si>
  <si>
    <t>RXYQ26PTLT</t>
  </si>
  <si>
    <t>FTHF20RVLT</t>
  </si>
  <si>
    <t>RHF20RVLT</t>
  </si>
  <si>
    <t>FTXS25KVLT</t>
  </si>
  <si>
    <t>RXYQ28PTLT</t>
  </si>
  <si>
    <t>(1680×1240×767)+(1680×1240×767)</t>
  </si>
  <si>
    <t>FTHF25RVLT</t>
  </si>
  <si>
    <t>RHF25RVLT</t>
  </si>
  <si>
    <t>CTXS30KVLT</t>
  </si>
  <si>
    <t>290×1050×250</t>
  </si>
  <si>
    <t>RXYQ30PTLT</t>
  </si>
  <si>
    <t>FTHF30RVLT</t>
  </si>
  <si>
    <t>RHF30RVLT</t>
  </si>
  <si>
    <t>FTXS40JVLT</t>
  </si>
  <si>
    <t>RXYQ32PTLT</t>
  </si>
  <si>
    <t>FTHF40RVLT</t>
  </si>
  <si>
    <t>RHF40RVLT</t>
  </si>
  <si>
    <t>CTXS50JVLT</t>
  </si>
  <si>
    <t>RXYQ34PTLT</t>
  </si>
  <si>
    <t>(1680×930×767)+(1680×930×767)+(1680×1240×767)</t>
  </si>
  <si>
    <t>FTHF50RVLT</t>
  </si>
  <si>
    <t>RHF50RVLT</t>
  </si>
  <si>
    <t>CTXS60JVLT</t>
  </si>
  <si>
    <t>RXYQ36PTLT</t>
  </si>
  <si>
    <t>FTHF60RVLT</t>
  </si>
  <si>
    <t>RHF60RVLT</t>
  </si>
  <si>
    <t>CTXS70JVLT</t>
  </si>
  <si>
    <t>RXYQ38PTLT</t>
  </si>
  <si>
    <t>(1680×930×767)+(1680×1240×767)+(1680×1240×767)</t>
  </si>
  <si>
    <t>FTHF71RVLT</t>
  </si>
  <si>
    <t>RHF71RVLT</t>
  </si>
  <si>
    <t>RXYQ40PTLT</t>
  </si>
  <si>
    <t>家用系列(歐風壁掛式)</t>
  </si>
  <si>
    <t>RXYQ42PTLT</t>
  </si>
  <si>
    <t>FTXJ25NVLTW</t>
  </si>
  <si>
    <t>303 × 998 × 212</t>
  </si>
  <si>
    <t>RXYQ44PTLT</t>
  </si>
  <si>
    <t>(1680×1240×767)+(1680×1240×767)+(1680×1240×767)</t>
  </si>
  <si>
    <t>FTXJ41NVLTW</t>
  </si>
  <si>
    <t>RXYQ46PTLT</t>
  </si>
  <si>
    <t>RXYQ48PTLT</t>
  </si>
  <si>
    <t>標準型空調箱</t>
  </si>
  <si>
    <t>AHUR06DBBVTY2</t>
  </si>
  <si>
    <t>空調箱</t>
  </si>
  <si>
    <t>三相/380V/60Hz</t>
  </si>
  <si>
    <t>VRV-III(高效率型)</t>
  </si>
  <si>
    <t>AHUR08DBBVTY2</t>
  </si>
  <si>
    <t>RXYQ20PHTLT</t>
  </si>
  <si>
    <t>AHUR10DBBVTY2</t>
  </si>
  <si>
    <t>RXYQ24PHTLT</t>
  </si>
  <si>
    <t>(1680×930×767)+(1680×930×767)+(1680×930×767)</t>
  </si>
  <si>
    <t>AHUR16DBBVTY2</t>
  </si>
  <si>
    <t>RXYQ26PHTLT</t>
  </si>
  <si>
    <t>AHUR20DBBVTY2</t>
  </si>
  <si>
    <t>RXYQ28PHTLT</t>
  </si>
  <si>
    <t>AHUR32DBBVTY2</t>
  </si>
  <si>
    <t>RXYQ30PHTLT</t>
  </si>
  <si>
    <t>AHUR40DBBVTY2</t>
  </si>
  <si>
    <t>RXYQ32PHTLT</t>
  </si>
  <si>
    <t>AHUR48DBBVTY2</t>
  </si>
  <si>
    <t>RXYQ34PHTLT</t>
  </si>
  <si>
    <t>AHUR60DBBVTY2</t>
  </si>
  <si>
    <t>RXYQ36PHTLT</t>
  </si>
  <si>
    <t>AHUR80DBBVTY2</t>
  </si>
  <si>
    <t>RXYQ38PHTLT</t>
  </si>
  <si>
    <t>AHUR100DBBVTY2</t>
  </si>
  <si>
    <t>RXYQ40PHTLT</t>
  </si>
  <si>
    <t>AHUR120DBBVTY2</t>
  </si>
  <si>
    <t>RXYQ42PHTLT</t>
  </si>
  <si>
    <t>家用室內機</t>
  </si>
  <si>
    <t>家用室外機</t>
  </si>
  <si>
    <t>橫綱X</t>
  </si>
  <si>
    <t>FTXV22XVLT</t>
  </si>
  <si>
    <t>299×838×275</t>
  </si>
  <si>
    <t>RXV22XVLT</t>
  </si>
  <si>
    <t>550×675×284</t>
  </si>
  <si>
    <t>FTXV28XVLT</t>
  </si>
  <si>
    <t>RXV28XVLT</t>
  </si>
  <si>
    <t>FTXV36XVLT</t>
  </si>
  <si>
    <t>RXV36XVLT</t>
  </si>
  <si>
    <t>595×845×300</t>
  </si>
  <si>
    <t>FTXV41XVLT</t>
  </si>
  <si>
    <t>299×920×275</t>
  </si>
  <si>
    <t>RXV41XVLT</t>
  </si>
  <si>
    <t>FTXV50XVLT</t>
  </si>
  <si>
    <t>RXV50XVLT</t>
  </si>
  <si>
    <t>FTXV60XVLT</t>
  </si>
  <si>
    <t>299×1100×275</t>
  </si>
  <si>
    <t>RXV60XVLT</t>
  </si>
  <si>
    <t>695×930×350</t>
  </si>
  <si>
    <t>FTXV71XVLT</t>
  </si>
  <si>
    <t>RXV71XVLT</t>
  </si>
  <si>
    <t>FTXV80XVLT</t>
  </si>
  <si>
    <t>329×1240×278</t>
  </si>
  <si>
    <t>RXV80XVLT</t>
  </si>
  <si>
    <t>FTXV90XVLT</t>
  </si>
  <si>
    <t>RXV90XVLT</t>
  </si>
  <si>
    <t>橫綱Y</t>
  </si>
  <si>
    <t>FTXM22YVLT</t>
  </si>
  <si>
    <t>RXM22YVLT</t>
  </si>
  <si>
    <t>FTXM28YVLT</t>
  </si>
  <si>
    <t>RXM28YVLT</t>
  </si>
  <si>
    <t>FTXM36YVLT</t>
  </si>
  <si>
    <t>RXM36YVLT</t>
  </si>
  <si>
    <t>FTXM41YVLT</t>
  </si>
  <si>
    <t>RXM41YVLT</t>
  </si>
  <si>
    <t>FTXM50YVLT</t>
  </si>
  <si>
    <t>RXM50YVLT</t>
  </si>
  <si>
    <t>FTXM60YVLT</t>
  </si>
  <si>
    <t>RXM60YVLT</t>
  </si>
  <si>
    <t>FTXM71YVLT</t>
  </si>
  <si>
    <t>RXM71YVLT</t>
  </si>
  <si>
    <t>橫綱Z</t>
  </si>
  <si>
    <t>FTXM22ZVLT</t>
  </si>
  <si>
    <t>RXM22ZVLT</t>
  </si>
  <si>
    <t>FTXM28ZVLT</t>
  </si>
  <si>
    <t>RXM28ZVLT</t>
  </si>
  <si>
    <t>FTXM36ZVLT</t>
  </si>
  <si>
    <t>RXM36ZVLT</t>
  </si>
  <si>
    <t>550×845×300</t>
  </si>
  <si>
    <t>FTXM41ZVLT</t>
  </si>
  <si>
    <t>RXM41ZVLT</t>
  </si>
  <si>
    <t>FTXM50ZVLT</t>
  </si>
  <si>
    <t>RXM50ZVLT</t>
  </si>
  <si>
    <t>FTXM60ZVLT</t>
  </si>
  <si>
    <t>RXM60ZVLT</t>
  </si>
  <si>
    <t>FTXM71ZVLT</t>
  </si>
  <si>
    <t>RXM71ZVLT</t>
  </si>
  <si>
    <t>FTXM80ZVLT</t>
  </si>
  <si>
    <t>RXM80ZVLT</t>
  </si>
  <si>
    <t>FTXM90ZVLT</t>
  </si>
  <si>
    <t>RXM90ZVLT</t>
  </si>
  <si>
    <t>大關U</t>
  </si>
  <si>
    <t>FTXV22UVLT</t>
  </si>
  <si>
    <t>285×770×226</t>
  </si>
  <si>
    <t>RXV22UVLT</t>
  </si>
  <si>
    <t>FTXV28UVLT</t>
  </si>
  <si>
    <t>RXV28UVLT</t>
  </si>
  <si>
    <t>FTXV36UVLT</t>
  </si>
  <si>
    <t>RXV36UVLT</t>
  </si>
  <si>
    <t>FTXV41UVLT</t>
  </si>
  <si>
    <t>295×990×266</t>
  </si>
  <si>
    <t>RXV41UVLT</t>
  </si>
  <si>
    <t>FTXV50UVLT</t>
  </si>
  <si>
    <t>RXV50UVLT</t>
  </si>
  <si>
    <t>FTXV60UVLT</t>
  </si>
  <si>
    <t>RXV60UVLT</t>
  </si>
  <si>
    <t>FTXV71UVLT</t>
  </si>
  <si>
    <t>RXV71UVLT</t>
  </si>
  <si>
    <t>大關Z</t>
  </si>
  <si>
    <t>FTXV22ZVLT</t>
  </si>
  <si>
    <t>286×770×244</t>
  </si>
  <si>
    <t>RXV22ZVLT</t>
  </si>
  <si>
    <t>FTXV28ZVLT</t>
  </si>
  <si>
    <t>RXV28ZVLT</t>
  </si>
  <si>
    <t>FTXV36ZVLT</t>
  </si>
  <si>
    <t>RXV36ZVLT</t>
  </si>
  <si>
    <t>FTXV41ZVLT</t>
  </si>
  <si>
    <t>295×993×281</t>
  </si>
  <si>
    <t>RXV41ZVLT</t>
  </si>
  <si>
    <t>FTXV50ZVLT</t>
  </si>
  <si>
    <t>RXV50ZVLT</t>
  </si>
  <si>
    <t>FTXV60ZVLT</t>
  </si>
  <si>
    <t>RXV60ZVLT</t>
  </si>
  <si>
    <t>FTXV71ZVLT</t>
  </si>
  <si>
    <t>RXV71ZVLT</t>
  </si>
  <si>
    <t>經典VA</t>
  </si>
  <si>
    <t>經典V</t>
  </si>
  <si>
    <t>FTHF20VAVLT</t>
  </si>
  <si>
    <t>285×770×242</t>
  </si>
  <si>
    <t>RHF20VAVLT</t>
  </si>
  <si>
    <t>FTHF25VAVLT</t>
  </si>
  <si>
    <t>RHF25VAVLT</t>
  </si>
  <si>
    <t>FTHF30VAVLT</t>
  </si>
  <si>
    <t>RHF30VAVLT</t>
  </si>
  <si>
    <t>FTHF40VVLT</t>
  </si>
  <si>
    <t>295×990×281</t>
  </si>
  <si>
    <t>RHF40VVLT</t>
  </si>
  <si>
    <t>FTHF50VVLT</t>
  </si>
  <si>
    <t>RHF50VVLT</t>
  </si>
  <si>
    <t>FTHF60VVLT</t>
  </si>
  <si>
    <t>RHF60VVLT</t>
  </si>
  <si>
    <t>FTHF71VVLT</t>
  </si>
  <si>
    <t>RHF71VVLT</t>
  </si>
  <si>
    <t>豪菁Z</t>
  </si>
  <si>
    <t>FTHF20ZVLT</t>
  </si>
  <si>
    <t>RHF20ZVLT</t>
  </si>
  <si>
    <t>FTHF25ZVLT</t>
  </si>
  <si>
    <t>RHF25ZVLT</t>
  </si>
  <si>
    <t>FTHF30ZVLT</t>
  </si>
  <si>
    <t>RHF30ZVLT</t>
  </si>
  <si>
    <t>FTHF40ZVLT</t>
  </si>
  <si>
    <t>RHF40ZVLT</t>
  </si>
  <si>
    <t>FTHF50ZVLT</t>
  </si>
  <si>
    <t>RHF50ZVLT</t>
  </si>
  <si>
    <t>FTHF60ZVLT</t>
  </si>
  <si>
    <t>RHF60ZVLT</t>
  </si>
  <si>
    <t>FTHF71ZVLT</t>
  </si>
  <si>
    <t>RHF71ZVLT</t>
  </si>
  <si>
    <t>隱藏風管</t>
  </si>
  <si>
    <t>FDXV22RVLT</t>
  </si>
  <si>
    <t>FDXV28RVLT</t>
  </si>
  <si>
    <t>FDXV36RVLT</t>
  </si>
  <si>
    <t>FDXV41RVLT</t>
  </si>
  <si>
    <t>FDXV50RVLT</t>
  </si>
  <si>
    <t>FDXV60RVLT</t>
  </si>
  <si>
    <t>FDXV71RVLT</t>
  </si>
  <si>
    <t>家用多聯式</t>
  </si>
  <si>
    <t>2MXM56YVLT</t>
  </si>
  <si>
    <t>額定5.6</t>
  </si>
  <si>
    <t>依室內機搭配而不同</t>
  </si>
  <si>
    <t>1.5-10.5</t>
  </si>
  <si>
    <t>2MXM75YVLT</t>
  </si>
  <si>
    <t>額定7.2</t>
  </si>
  <si>
    <t>1.5-13.7</t>
  </si>
  <si>
    <t>3MXM90YVLT</t>
  </si>
  <si>
    <t>額定8.5</t>
  </si>
  <si>
    <t>1.5-14.1</t>
  </si>
  <si>
    <t>4MXM110YVLT</t>
  </si>
  <si>
    <t>額定10.5</t>
  </si>
  <si>
    <t>2.7-16.8</t>
  </si>
  <si>
    <t>SMART MULTi</t>
  </si>
  <si>
    <t>FTXM71TVLT</t>
  </si>
  <si>
    <t>2MXP50ZVLT</t>
  </si>
  <si>
    <t>額定5.0</t>
  </si>
  <si>
    <t>0.9~8.4</t>
  </si>
  <si>
    <t>FTXM80RVLT</t>
  </si>
  <si>
    <t>340×1200×259</t>
  </si>
  <si>
    <t>2MXP85ZVLT</t>
  </si>
  <si>
    <t>1.5~14.2</t>
  </si>
  <si>
    <t>FTXM90RVLT</t>
  </si>
  <si>
    <t>商用室內機</t>
  </si>
  <si>
    <t>商用室外機</t>
  </si>
  <si>
    <t>商用冷專壁掛式R32</t>
  </si>
  <si>
    <t>FAA71XVLT</t>
  </si>
  <si>
    <t>595 × 845 × 300</t>
  </si>
  <si>
    <t>RKF71XVLT-壁掛式</t>
  </si>
  <si>
    <t>FAA100XVLT</t>
  </si>
  <si>
    <t>990 × 940 × 320</t>
  </si>
  <si>
    <t>RKF100XVLT-壁掛式</t>
  </si>
  <si>
    <t>商用冷專全方吹R32</t>
  </si>
  <si>
    <t>商用冷專嵌入式全方吹</t>
  </si>
  <si>
    <t>FCA71DVLT</t>
  </si>
  <si>
    <t>RZF71DVLT-嵌入式</t>
  </si>
  <si>
    <t>608×845×300</t>
  </si>
  <si>
    <t>FCA71CVLT</t>
  </si>
  <si>
    <t>RZF71CVLT-嵌入式</t>
  </si>
  <si>
    <t>FCA100CVLT</t>
  </si>
  <si>
    <t>RZF100CVLT-嵌入式</t>
  </si>
  <si>
    <t>FCA125CVLT</t>
  </si>
  <si>
    <t>RZF125CVLT-嵌入式</t>
  </si>
  <si>
    <t>FCA140CVLT</t>
  </si>
  <si>
    <t>RZF140CVLT-嵌入式</t>
  </si>
  <si>
    <t>FCA140DVLT</t>
  </si>
  <si>
    <t>RZF140DTLT-嵌入式</t>
  </si>
  <si>
    <t>RZF140CYLT-嵌入式</t>
  </si>
  <si>
    <t>商用冷專吊隱式R32</t>
  </si>
  <si>
    <t>商用冷專吊隱式</t>
  </si>
  <si>
    <t>FBA71BVLT</t>
  </si>
  <si>
    <t>RZF71DVLT-吊隱式</t>
  </si>
  <si>
    <t>FBA100BVLT</t>
  </si>
  <si>
    <t>RZF100CVLT-吊隱式</t>
  </si>
  <si>
    <t>FBA125BVLT</t>
  </si>
  <si>
    <t>RZF125CVLT-吊隱式</t>
  </si>
  <si>
    <t>FBA140BVLT</t>
  </si>
  <si>
    <t>RZF140CVLT-吊隱式</t>
  </si>
  <si>
    <t>RZF140DTLT-吊隱式</t>
  </si>
  <si>
    <t>RZF140CYLT-吊隱式</t>
  </si>
  <si>
    <t>商用冷暖全方吹R32</t>
  </si>
  <si>
    <t>商用冷暖嵌入式全方吹</t>
  </si>
  <si>
    <t>RZAC71EVLT-嵌入式</t>
  </si>
  <si>
    <t>RZAC100DVLT-嵌入式</t>
  </si>
  <si>
    <t>RZAC125DVLT-嵌入式</t>
  </si>
  <si>
    <t>RZAC140DVLT-嵌入式</t>
  </si>
  <si>
    <t>RZAC140ETLT-嵌入式</t>
  </si>
  <si>
    <t>RZAC140DYLT-嵌入式</t>
  </si>
  <si>
    <t>商用冷暖吊隱式R32</t>
  </si>
  <si>
    <t>商用冷暖吊隱式</t>
  </si>
  <si>
    <t>RZAC71EVLT-吊隱式</t>
  </si>
  <si>
    <t>RZAC100DVLT-吊隱式</t>
  </si>
  <si>
    <t>RZAC125DVLT-吊隱式</t>
  </si>
  <si>
    <t>RZAC140DVLT-吊隱式</t>
  </si>
  <si>
    <t>RZAC140DTLT-吊隱式</t>
  </si>
  <si>
    <t>RZAC140DYLT-吊隱式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</si>
</sst>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0.0_);[Red](0.0)"/>
    <numFmt numFmtId="165" formatCode="_-* #,##0.00_-;-* #,##0.00_-;_-* &quot;-&quot;??_-;_-@_-"/>
    <numFmt numFmtId="166" formatCode="&quot;製表日期：&quot;yyyy&quot;年&quot;m&quot;月&quot;d&quot;日&quot;"/>
    <numFmt numFmtId="167" formatCode="#,##0.00_);[Red](#,##0.00)"/>
    <numFmt numFmtId="168" formatCode="0_);[Red](0)"/>
    <numFmt numFmtId="169" formatCode="0.0_ "/>
    <numFmt numFmtId="170" formatCode="0_ "/>
    <numFmt numFmtId="171" formatCode="#,##0_ "/>
    <numFmt numFmtId="172" formatCode="&quot;FXDQ-&quot;General"/>
    <numFmt numFmtId="173" formatCode="#,##0_);[Red](#,##0)"/>
    <numFmt numFmtId="174" formatCode="0.000_);[Red](0.000)"/>
    <numFmt numFmtId="175" formatCode="0.0"/>
    <numFmt numFmtId="176" formatCode="#,##0.0_);[Red](#,##0.0)"/>
    <numFmt numFmtId="177" formatCode="0.00_);[Red](0.00)"/>
    <numFmt numFmtId="178" formatCode="&quot;VAM-&quot;General"/>
    <numFmt numFmtId="179" formatCode="&quot;HT0&quot;General"/>
    <numFmt numFmtId="180" formatCode="0.000"/>
  </numFmts>
  <fonts count="22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family val="1"/>
      <sz val="12"/>
      <name val="Times New Roman"/>
    </font>
    <font>
      <charset val="136"/>
      <family val="4"/>
      <sz val="20"/>
      <name val="標楷體"/>
    </font>
    <font>
      <charset val="136"/>
      <family val="4"/>
      <sz val="16"/>
      <name val="標楷體"/>
    </font>
    <font>
      <charset val="136"/>
      <family val="4"/>
      <sz val="10"/>
      <name val="標楷體"/>
    </font>
    <font>
      <family val="2"/>
      <sz val="10"/>
      <name val="Arial"/>
    </font>
    <font>
      <charset val="136"/>
      <family val="4"/>
      <sz val="12"/>
      <name val="標楷體"/>
    </font>
    <font>
      <charset val="136"/>
      <family val="4"/>
      <sz val="11"/>
      <name val="標楷體"/>
    </font>
    <font>
      <family val="2"/>
      <sz val="11"/>
      <name val="Arial"/>
    </font>
    <font>
      <charset val="136"/>
      <family val="4"/>
      <sz val="12"/>
      <name val="Arial"/>
    </font>
    <font>
      <charset val="136"/>
      <family val="2"/>
      <sz val="12"/>
      <name val="Microsoft JhengHei UI"/>
    </font>
    <font>
      <color theme="1"/>
      <family val="2"/>
      <sz val="12"/>
      <name val="Arial"/>
    </font>
    <font>
      <family val="4"/>
      <sz val="12"/>
      <name val="Microsoft JhengHei"/>
    </font>
    <font>
      <family val="2"/>
      <sz val="12"/>
      <name val="Microsoft JhengHei"/>
    </font>
    <font>
      <charset val="136"/>
      <color theme="1"/>
      <family val="1"/>
      <scheme val="major"/>
      <sz val="12"/>
      <name val="新細明體"/>
    </font>
    <font>
      <charset val="136"/>
      <color theme="1"/>
      <family val="1"/>
      <scheme val="major"/>
      <sz val="11"/>
      <name val="新細明體"/>
    </font>
    <font>
      <charset val="136"/>
      <family val="1"/>
      <scheme val="major"/>
      <sz val="12"/>
      <name val="新細明體"/>
    </font>
    <font>
      <charset val="136"/>
      <color rgb="FF9C6500"/>
      <family val="1"/>
      <scheme val="major"/>
      <sz val="12"/>
      <name val="新細明體"/>
    </font>
    <font>
      <charset val="136"/>
      <color rgb="FFFF0000"/>
      <family val="1"/>
      <scheme val="major"/>
      <sz val="12"/>
      <name val="新細明體"/>
    </font>
    <font>
      <charset val="136"/>
      <color rgb="FF006100"/>
      <family val="1"/>
      <scheme val="major"/>
      <sz val="12"/>
      <name val="新細明體"/>
    </font>
    <font>
      <charset val="136"/>
      <color theme="1"/>
      <family val="2"/>
      <scheme val="minor"/>
      <sz val="12"/>
      <name val="新細明體"/>
    </font>
  </fonts>
  <fills count="12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5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167" fontId="7" fillId="0" borderId="3" xfId="0" applyNumberFormat="1" applyFont="1" applyBorder="1" applyAlignment="1">
      <alignment horizontal="right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8" fontId="7" fillId="2" borderId="4" xfId="0" applyNumberFormat="1" applyFont="1" applyFill="1" applyBorder="1" applyAlignment="1">
      <alignment horizontal="center" vertical="center" wrapText="1"/>
    </xf>
    <xf numFmtId="168" fontId="1" fillId="2" borderId="4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5" fontId="7" fillId="2" borderId="5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/>
    </xf>
    <xf numFmtId="168" fontId="1" fillId="2" borderId="6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9" fontId="7" fillId="2" borderId="4" xfId="0" applyNumberFormat="1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/>
    </xf>
    <xf numFmtId="165" fontId="1" fillId="2" borderId="10" xfId="0" applyNumberFormat="1" applyFont="1" applyFill="1" applyBorder="1" applyAlignment="1">
      <alignment horizontal="center" vertical="center"/>
    </xf>
    <xf numFmtId="165" fontId="7" fillId="4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9" fontId="7" fillId="4" borderId="4" xfId="0" applyNumberFormat="1" applyFont="1" applyFill="1" applyBorder="1" applyAlignment="1">
      <alignment horizontal="center" vertical="center" wrapText="1"/>
    </xf>
    <xf numFmtId="165" fontId="7" fillId="4" borderId="4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69" fontId="1" fillId="0" borderId="4" xfId="0" applyNumberFormat="1" applyFont="1" applyBorder="1" applyAlignment="1">
      <alignment horizontal="center" vertical="center" wrapText="1"/>
    </xf>
    <xf numFmtId="170" fontId="12" fillId="7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71" fontId="1" fillId="0" borderId="4" xfId="0" applyNumberFormat="1" applyFont="1" applyBorder="1" applyAlignment="1">
      <alignment horizontal="center" vertical="center" wrapText="1"/>
    </xf>
    <xf numFmtId="172" fontId="1" fillId="7" borderId="4" xfId="0" applyNumberFormat="1" applyFont="1" applyFill="1" applyBorder="1" applyAlignment="1">
      <alignment horizontal="center" vertical="center"/>
    </xf>
    <xf numFmtId="168" fontId="1" fillId="7" borderId="4" xfId="0" applyNumberFormat="1" applyFont="1" applyFill="1" applyBorder="1" applyAlignment="1">
      <alignment horizontal="center" vertical="center"/>
    </xf>
    <xf numFmtId="173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8" fontId="1" fillId="0" borderId="4" xfId="0" applyNumberFormat="1" applyFont="1" applyBorder="1" applyAlignment="1">
      <alignment horizontal="center" vertical="center"/>
    </xf>
    <xf numFmtId="174" fontId="1" fillId="0" borderId="4" xfId="0" applyNumberFormat="1" applyFont="1" applyBorder="1" applyAlignment="1">
      <alignment horizontal="center" vertical="center"/>
    </xf>
    <xf numFmtId="175" fontId="1" fillId="0" borderId="4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2" fontId="1" fillId="7" borderId="5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173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/>
    </xf>
    <xf numFmtId="178" fontId="1" fillId="7" borderId="4" xfId="0" applyNumberFormat="1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79" fontId="1" fillId="7" borderId="4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70" fontId="1" fillId="7" borderId="4" xfId="0" applyNumberFormat="1" applyFont="1" applyFill="1" applyBorder="1" applyAlignment="1">
      <alignment horizontal="center" vertical="center" wrapText="1"/>
    </xf>
    <xf numFmtId="172" fontId="1" fillId="7" borderId="4" xfId="0" applyNumberFormat="1" applyFont="1" applyFill="1" applyBorder="1" applyAlignment="1">
      <alignment vertical="center"/>
    </xf>
    <xf numFmtId="0" fontId="1" fillId="7" borderId="4" xfId="0" applyFont="1" applyFill="1" applyBorder="1" applyAlignment="1">
      <alignment vertical="center" wrapText="1"/>
    </xf>
    <xf numFmtId="173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8" borderId="1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9" fontId="15" fillId="0" borderId="4" xfId="0" applyNumberFormat="1" applyFont="1" applyBorder="1" applyAlignment="1">
      <alignment horizontal="center" vertical="center" wrapText="1"/>
    </xf>
    <xf numFmtId="169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169" fontId="15" fillId="0" borderId="10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0" xfId="0" applyFont="1"/>
    <xf numFmtId="0" fontId="15" fillId="0" borderId="8" xfId="0" applyFont="1" applyBorder="1" applyAlignment="1">
      <alignment horizontal="center" vertical="center"/>
    </xf>
    <xf numFmtId="0" fontId="17" fillId="11" borderId="6" xfId="0" applyFont="1" applyFill="1" applyBorder="1" applyAlignment="1">
      <alignment vertical="center"/>
    </xf>
    <xf numFmtId="0" fontId="17" fillId="11" borderId="7" xfId="0" applyFont="1" applyFill="1" applyBorder="1" applyAlignment="1">
      <alignment vertical="center"/>
    </xf>
    <xf numFmtId="0" fontId="17" fillId="11" borderId="8" xfId="0" applyFont="1" applyFill="1" applyBorder="1" applyAlignment="1">
      <alignment vertical="center"/>
    </xf>
    <xf numFmtId="180" fontId="15" fillId="0" borderId="4" xfId="0" applyNumberFormat="1" applyFont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169" fontId="15" fillId="0" borderId="0" xfId="0" applyNumberFormat="1" applyFont="1" applyAlignment="1">
      <alignment horizontal="center" vertical="center"/>
    </xf>
    <xf numFmtId="0" fontId="16" fillId="0" borderId="4" xfId="0" applyFont="1" applyBorder="1"/>
    <xf numFmtId="0" fontId="15" fillId="0" borderId="1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0" fillId="9" borderId="4" xfId="0" applyFont="1" applyFill="1" applyBorder="1" applyAlignment="1">
      <alignment horizontal="center" vertical="center"/>
    </xf>
    <xf numFmtId="0" fontId="21" fillId="0" borderId="0" xfId="0" applyFont="1"/>
  </cellXfs>
  <cellStyles count="1">
    <cellStyle name="Normal" xfId="0" builtinId="0"/>
  </cellStyles>
  <dxfs count="16">
    <dxf>
      <font>
        <b/>
        <i/>
        <color rgb="FFFF0000"/>
      </font>
    </dxf>
    <dxf>
      <font>
        <color rgb="FF0066FF"/>
      </font>
    </dxf>
    <dxf>
      <font>
        <b/>
        <i/>
        <color rgb="FFFF0000"/>
      </font>
    </dxf>
    <dxf>
      <font>
        <color rgb="FF0066FF"/>
      </font>
    </dxf>
    <dxf>
      <font>
        <b/>
        <i/>
        <color rgb="FFFF0000"/>
      </font>
    </dxf>
    <dxf>
      <font>
        <color rgb="FF0066FF"/>
      </font>
    </dxf>
    <dxf>
      <font>
        <b/>
        <i/>
        <color rgb="FFFF0000"/>
      </font>
    </dxf>
    <dxf>
      <font>
        <color rgb="FF0066FF"/>
      </font>
    </dxf>
    <dxf>
      <font>
        <b/>
        <i/>
        <color rgb="FFFF0000"/>
      </font>
    </dxf>
    <dxf>
      <font>
        <color rgb="FF0066FF"/>
      </font>
    </dxf>
    <dxf>
      <font>
        <b/>
        <i/>
        <color rgb="FFFF0000"/>
      </font>
    </dxf>
    <dxf>
      <font>
        <color rgb="FF0066FF"/>
      </font>
    </dxf>
    <dxf>
      <font>
        <b/>
        <i/>
        <color rgb="FFFF0000"/>
      </font>
    </dxf>
    <dxf>
      <font>
        <color rgb="FF0066FF"/>
      </font>
    </dxf>
    <dxf>
      <font>
        <b/>
        <i/>
        <color rgb="FFFF0000"/>
      </font>
    </dxf>
    <dxf>
      <font>
        <color rgb="FF0066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9525</xdr:rowOff>
    </xdr:from>
    <xdr:to>
      <xdr:col>5</xdr:col>
      <xdr:colOff>38100</xdr:colOff>
      <xdr:row>0</xdr:row>
      <xdr:rowOff>9525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413657</xdr:colOff>
      <xdr:row>3</xdr:row>
      <xdr:rowOff>214992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O312"/>
  <sheetViews>
    <sheetView workbookViewId="0" zoomScale="100" zoomScaleNormal="100">
      <selection activeCell="G237" sqref="G237"/>
    </sheetView>
  </sheetViews>
  <sheetFormatPr defaultRowHeight="16.2" outlineLevelRow="0" outlineLevelCol="0" x14ac:dyDescent="0" defaultColWidth="7.88671875" customHeight="1"/>
  <cols>
    <col min="1" max="1" width="7.88671875" style="103" customWidth="1"/>
    <col min="2" max="2" width="31" style="103" customWidth="1"/>
    <col min="3" max="3" width="16" style="103" customWidth="1"/>
    <col min="4" max="4" width="9.6640625" style="103" customWidth="1"/>
    <col min="5" max="5" width="10.88671875" style="103" customWidth="1"/>
    <col min="6" max="6" width="18" style="103" customWidth="1"/>
    <col min="7" max="8" width="13.44140625" style="103" customWidth="1"/>
    <col min="9" max="10" width="15" style="103" customWidth="1"/>
    <col min="11" max="11" width="8" style="104" customWidth="1"/>
    <col min="12" max="12" width="7.77734375" style="103" customWidth="1"/>
    <col min="13" max="14" width="25.77734375" style="103" customWidth="1"/>
    <col min="15" max="15" width="10.88671875" style="103" customWidth="1"/>
    <col min="16" max="16" width="25.77734375" style="103" customWidth="1"/>
    <col min="17" max="17" width="20.109375" style="103" customWidth="1"/>
    <col min="18" max="20" width="18" style="103" customWidth="1"/>
    <col min="21" max="21" width="7.88671875" style="103" customWidth="1"/>
    <col min="22" max="22" width="22.77734375" style="103" customWidth="1"/>
    <col min="23" max="23" width="10.88671875" style="103" customWidth="1"/>
    <col min="24" max="24" width="13.44140625" style="103" customWidth="1"/>
    <col min="25" max="25" width="19.6640625" style="103" customWidth="1"/>
    <col min="26" max="26" width="17.6640625" style="103" customWidth="1"/>
    <col min="27" max="27" width="7.88671875" style="103" customWidth="1"/>
    <col min="28" max="29" width="18" style="103" customWidth="1"/>
    <col min="30" max="31" width="7.88671875" style="103" customWidth="1"/>
    <col min="32" max="32" width="16.21875" style="103" customWidth="1"/>
    <col min="33" max="35" width="7.88671875" style="103" customWidth="1"/>
    <col min="36" max="36" width="18.88671875" style="103" customWidth="1"/>
    <col min="37" max="37" width="16.109375" style="103" customWidth="1"/>
    <col min="38" max="39" width="7.88671875" style="103" customWidth="1"/>
    <col min="40" max="40" width="14.6640625" style="103" customWidth="1"/>
    <col min="41" max="16384" width="7.88671875" style="103" customWidth="1"/>
  </cols>
  <sheetData>
    <row r="2" spans="2:26" x14ac:dyDescent="0.25">
      <c r="B2" s="105" t="s">
        <v>63</v>
      </c>
      <c r="C2" s="106"/>
      <c r="D2" s="106"/>
      <c r="E2" s="106"/>
      <c r="F2" s="106"/>
      <c r="G2" s="106"/>
      <c r="H2" s="106"/>
      <c r="I2" s="106"/>
      <c r="J2" s="106"/>
      <c r="M2" s="107" t="s">
        <v>64</v>
      </c>
      <c r="N2" s="107"/>
      <c r="O2" s="107"/>
      <c r="P2" s="107"/>
      <c r="Q2" s="107"/>
      <c r="R2" s="107"/>
      <c r="S2" s="108"/>
      <c r="T2" s="108"/>
      <c r="V2" s="109" t="s">
        <v>20</v>
      </c>
      <c r="W2" s="109"/>
      <c r="X2" s="109"/>
      <c r="Y2" s="109"/>
      <c r="Z2" s="109"/>
    </row>
    <row r="3" ht="48.6" customHeight="1" spans="2:26" x14ac:dyDescent="0.25">
      <c r="B3" s="110" t="s">
        <v>65</v>
      </c>
      <c r="C3" s="111" t="s">
        <v>66</v>
      </c>
      <c r="D3" s="112" t="s">
        <v>67</v>
      </c>
      <c r="E3" s="110" t="s">
        <v>68</v>
      </c>
      <c r="F3" s="113" t="s">
        <v>69</v>
      </c>
      <c r="G3" s="113" t="s">
        <v>70</v>
      </c>
      <c r="H3" s="113" t="s">
        <v>71</v>
      </c>
      <c r="I3" s="111" t="s">
        <v>72</v>
      </c>
      <c r="J3" s="111" t="s">
        <v>73</v>
      </c>
      <c r="M3" s="114" t="s">
        <v>65</v>
      </c>
      <c r="N3" s="115" t="s">
        <v>66</v>
      </c>
      <c r="O3" s="114" t="s">
        <v>68</v>
      </c>
      <c r="P3" s="114" t="s">
        <v>70</v>
      </c>
      <c r="Q3" s="116" t="s">
        <v>74</v>
      </c>
      <c r="R3" s="113" t="s">
        <v>75</v>
      </c>
      <c r="S3" s="113" t="s">
        <v>76</v>
      </c>
      <c r="T3" s="111" t="s">
        <v>73</v>
      </c>
      <c r="V3" s="110" t="s">
        <v>65</v>
      </c>
      <c r="W3" s="113" t="s">
        <v>71</v>
      </c>
      <c r="X3" s="113" t="s">
        <v>70</v>
      </c>
      <c r="Y3" s="113" t="s">
        <v>69</v>
      </c>
      <c r="Z3" s="111" t="s">
        <v>73</v>
      </c>
    </row>
    <row r="4" spans="2:27" x14ac:dyDescent="0.25">
      <c r="B4" s="113" t="s">
        <v>77</v>
      </c>
      <c r="C4" s="110"/>
      <c r="D4" s="110"/>
      <c r="E4" s="110"/>
      <c r="F4" s="110"/>
      <c r="G4" s="110"/>
      <c r="H4" s="110"/>
      <c r="I4" s="110"/>
      <c r="J4" s="110"/>
      <c r="L4" s="117"/>
      <c r="M4" s="110" t="s">
        <v>78</v>
      </c>
      <c r="N4" s="110"/>
      <c r="O4" s="110"/>
      <c r="P4" s="110"/>
      <c r="Q4" s="110"/>
      <c r="R4" s="110"/>
      <c r="S4" s="110"/>
      <c r="T4" s="110"/>
      <c r="V4" s="110" t="s">
        <v>79</v>
      </c>
      <c r="W4" s="110">
        <v>0.61</v>
      </c>
      <c r="X4" s="110">
        <v>0.132</v>
      </c>
      <c r="Y4" s="110" t="s">
        <v>80</v>
      </c>
      <c r="Z4" s="110" t="s">
        <v>81</v>
      </c>
      <c r="AA4" s="104"/>
    </row>
    <row r="5" spans="2:27" x14ac:dyDescent="0.25">
      <c r="B5" s="110" t="s">
        <v>82</v>
      </c>
      <c r="C5" s="110">
        <v>2.2</v>
      </c>
      <c r="D5" s="110" t="s">
        <v>83</v>
      </c>
      <c r="E5" s="110">
        <v>20</v>
      </c>
      <c r="F5" s="110" t="s">
        <v>80</v>
      </c>
      <c r="G5" s="110">
        <v>0.092</v>
      </c>
      <c r="H5" s="110">
        <v>0.7</v>
      </c>
      <c r="I5" s="110">
        <v>30</v>
      </c>
      <c r="J5" s="110" t="s">
        <v>84</v>
      </c>
      <c r="L5" s="117"/>
      <c r="M5" s="110" t="s">
        <v>85</v>
      </c>
      <c r="N5" s="110">
        <v>11.2</v>
      </c>
      <c r="O5" s="110">
        <f>25*4</f>
        <v>100</v>
      </c>
      <c r="P5" s="110">
        <v>3.47</v>
      </c>
      <c r="Q5" s="110" t="s">
        <v>80</v>
      </c>
      <c r="R5" s="110">
        <v>17.1</v>
      </c>
      <c r="S5" s="110">
        <v>25</v>
      </c>
      <c r="T5" s="110" t="s">
        <v>86</v>
      </c>
      <c r="V5" s="110" t="s">
        <v>87</v>
      </c>
      <c r="W5" s="110">
        <v>0.81</v>
      </c>
      <c r="X5" s="110">
        <v>0.172</v>
      </c>
      <c r="Y5" s="110" t="s">
        <v>80</v>
      </c>
      <c r="Z5" s="110" t="s">
        <v>81</v>
      </c>
      <c r="AA5" s="104"/>
    </row>
    <row r="6" spans="2:27" x14ac:dyDescent="0.25">
      <c r="B6" s="110" t="s">
        <v>88</v>
      </c>
      <c r="C6" s="110">
        <v>2.8</v>
      </c>
      <c r="D6" s="110" t="s">
        <v>83</v>
      </c>
      <c r="E6" s="110">
        <v>25</v>
      </c>
      <c r="F6" s="110" t="s">
        <v>80</v>
      </c>
      <c r="G6" s="110">
        <v>0.092</v>
      </c>
      <c r="H6" s="110">
        <v>0.7</v>
      </c>
      <c r="I6" s="110">
        <v>30</v>
      </c>
      <c r="J6" s="110" t="s">
        <v>84</v>
      </c>
      <c r="L6" s="117"/>
      <c r="M6" s="110" t="s">
        <v>89</v>
      </c>
      <c r="N6" s="110">
        <v>12.5</v>
      </c>
      <c r="O6" s="110">
        <v>112</v>
      </c>
      <c r="P6" s="110">
        <v>3.34</v>
      </c>
      <c r="Q6" s="110" t="s">
        <v>80</v>
      </c>
      <c r="R6" s="110">
        <v>16.2</v>
      </c>
      <c r="S6" s="110">
        <v>30</v>
      </c>
      <c r="T6" s="110" t="s">
        <v>86</v>
      </c>
      <c r="V6" s="110" t="s">
        <v>90</v>
      </c>
      <c r="W6" s="110">
        <v>1.06</v>
      </c>
      <c r="X6" s="110">
        <v>0.231</v>
      </c>
      <c r="Y6" s="110" t="s">
        <v>80</v>
      </c>
      <c r="Z6" s="110" t="s">
        <v>91</v>
      </c>
      <c r="AA6" s="104"/>
    </row>
    <row r="7" spans="2:27" x14ac:dyDescent="0.25">
      <c r="B7" s="110" t="s">
        <v>92</v>
      </c>
      <c r="C7" s="110">
        <v>3.6</v>
      </c>
      <c r="D7" s="110" t="s">
        <v>83</v>
      </c>
      <c r="E7" s="110">
        <v>31.25</v>
      </c>
      <c r="F7" s="110" t="s">
        <v>80</v>
      </c>
      <c r="G7" s="110">
        <v>0.095</v>
      </c>
      <c r="H7" s="110">
        <v>0.7</v>
      </c>
      <c r="I7" s="110">
        <v>30</v>
      </c>
      <c r="J7" s="110" t="s">
        <v>84</v>
      </c>
      <c r="L7" s="117"/>
      <c r="M7" s="110" t="s">
        <v>93</v>
      </c>
      <c r="N7" s="110">
        <v>14</v>
      </c>
      <c r="O7" s="110">
        <v>125</v>
      </c>
      <c r="P7" s="110">
        <v>4.21</v>
      </c>
      <c r="Q7" s="110" t="s">
        <v>80</v>
      </c>
      <c r="R7" s="110">
        <v>20.4</v>
      </c>
      <c r="S7" s="110">
        <v>30</v>
      </c>
      <c r="T7" s="110" t="s">
        <v>86</v>
      </c>
      <c r="V7" s="110" t="s">
        <v>94</v>
      </c>
      <c r="W7" s="110">
        <v>1.92</v>
      </c>
      <c r="X7" s="110">
        <v>0.39</v>
      </c>
      <c r="Y7" s="110" t="s">
        <v>80</v>
      </c>
      <c r="Z7" s="110" t="s">
        <v>95</v>
      </c>
      <c r="AA7" s="104"/>
    </row>
    <row r="8" spans="2:27" x14ac:dyDescent="0.25">
      <c r="B8" s="110" t="s">
        <v>96</v>
      </c>
      <c r="C8" s="110">
        <v>4.5</v>
      </c>
      <c r="D8" s="110" t="s">
        <v>83</v>
      </c>
      <c r="E8" s="110">
        <v>40</v>
      </c>
      <c r="F8" s="110" t="s">
        <v>80</v>
      </c>
      <c r="G8" s="110">
        <v>0.182</v>
      </c>
      <c r="H8" s="110">
        <v>0.9</v>
      </c>
      <c r="I8" s="110">
        <v>44</v>
      </c>
      <c r="J8" s="110" t="s">
        <v>97</v>
      </c>
      <c r="L8" s="117"/>
      <c r="V8" s="110" t="s">
        <v>98</v>
      </c>
      <c r="W8" s="110">
        <v>2.16</v>
      </c>
      <c r="X8" s="110">
        <v>0.472</v>
      </c>
      <c r="Y8" s="110" t="s">
        <v>80</v>
      </c>
      <c r="Z8" s="110" t="s">
        <v>95</v>
      </c>
      <c r="AA8" s="104"/>
    </row>
    <row r="9" spans="2:27" x14ac:dyDescent="0.25">
      <c r="B9" s="110" t="s">
        <v>99</v>
      </c>
      <c r="C9" s="110">
        <v>5.6</v>
      </c>
      <c r="D9" s="110" t="s">
        <v>83</v>
      </c>
      <c r="E9" s="110">
        <v>50</v>
      </c>
      <c r="F9" s="110" t="s">
        <v>80</v>
      </c>
      <c r="G9" s="110">
        <v>0.185</v>
      </c>
      <c r="H9" s="110">
        <v>1</v>
      </c>
      <c r="I9" s="110">
        <v>44</v>
      </c>
      <c r="J9" s="110" t="s">
        <v>97</v>
      </c>
      <c r="L9" s="117"/>
      <c r="M9" s="110" t="s">
        <v>100</v>
      </c>
      <c r="N9" s="110"/>
      <c r="O9" s="110"/>
      <c r="P9" s="110"/>
      <c r="Q9" s="110"/>
      <c r="R9" s="110"/>
      <c r="V9" s="110" t="s">
        <v>101</v>
      </c>
      <c r="W9" s="110">
        <v>3.81</v>
      </c>
      <c r="X9" s="110">
        <v>0.829</v>
      </c>
      <c r="Y9" s="110" t="s">
        <v>80</v>
      </c>
      <c r="Z9" s="110" t="s">
        <v>102</v>
      </c>
      <c r="AA9" s="104"/>
    </row>
    <row r="10" spans="2:27" x14ac:dyDescent="0.25">
      <c r="B10" s="110" t="s">
        <v>103</v>
      </c>
      <c r="C10" s="110">
        <v>7.1</v>
      </c>
      <c r="D10" s="110" t="s">
        <v>83</v>
      </c>
      <c r="E10" s="110">
        <v>62.5</v>
      </c>
      <c r="F10" s="110" t="s">
        <v>80</v>
      </c>
      <c r="G10" s="110">
        <v>0.192</v>
      </c>
      <c r="H10" s="110">
        <v>1.1</v>
      </c>
      <c r="I10" s="110">
        <v>44</v>
      </c>
      <c r="J10" s="110" t="s">
        <v>104</v>
      </c>
      <c r="L10" s="117"/>
      <c r="M10" s="110" t="s">
        <v>105</v>
      </c>
      <c r="N10" s="110">
        <v>11.2</v>
      </c>
      <c r="O10" s="110">
        <v>100</v>
      </c>
      <c r="P10" s="110">
        <v>2.25</v>
      </c>
      <c r="Q10" s="110" t="s">
        <v>80</v>
      </c>
      <c r="R10" s="110">
        <v>10.4</v>
      </c>
      <c r="S10" s="110">
        <v>25</v>
      </c>
      <c r="T10" s="110" t="s">
        <v>106</v>
      </c>
      <c r="V10" s="110" t="s">
        <v>107</v>
      </c>
      <c r="W10" s="110">
        <v>4.04</v>
      </c>
      <c r="X10" s="110">
        <v>0.883</v>
      </c>
      <c r="Y10" s="110" t="s">
        <v>80</v>
      </c>
      <c r="Z10" s="110" t="s">
        <v>102</v>
      </c>
      <c r="AA10" s="104"/>
    </row>
    <row r="11" spans="12:27" x14ac:dyDescent="0.25">
      <c r="L11" s="117"/>
      <c r="M11" s="110" t="s">
        <v>108</v>
      </c>
      <c r="N11" s="110">
        <v>12.5</v>
      </c>
      <c r="O11" s="110">
        <v>112.5</v>
      </c>
      <c r="P11" s="110">
        <v>2.66</v>
      </c>
      <c r="Q11" s="110" t="s">
        <v>80</v>
      </c>
      <c r="R11" s="110">
        <v>12.4</v>
      </c>
      <c r="S11" s="110">
        <v>30</v>
      </c>
      <c r="T11" s="110" t="s">
        <v>106</v>
      </c>
      <c r="V11" s="110" t="s">
        <v>109</v>
      </c>
      <c r="W11" s="110">
        <v>7.55</v>
      </c>
      <c r="X11" s="110">
        <v>1.645</v>
      </c>
      <c r="Y11" s="110" t="s">
        <v>80</v>
      </c>
      <c r="Z11" s="110" t="s">
        <v>110</v>
      </c>
      <c r="AA11" s="104"/>
    </row>
    <row r="12" spans="2:27" x14ac:dyDescent="0.25">
      <c r="B12" s="113" t="s">
        <v>111</v>
      </c>
      <c r="C12" s="110"/>
      <c r="D12" s="110"/>
      <c r="E12" s="110"/>
      <c r="F12" s="110"/>
      <c r="G12" s="110"/>
      <c r="H12" s="110"/>
      <c r="I12" s="110"/>
      <c r="J12" s="110"/>
      <c r="L12" s="117"/>
      <c r="M12" s="110" t="s">
        <v>112</v>
      </c>
      <c r="N12" s="110">
        <v>14</v>
      </c>
      <c r="O12" s="110">
        <v>125</v>
      </c>
      <c r="P12" s="110">
        <v>3.08</v>
      </c>
      <c r="Q12" s="110" t="s">
        <v>80</v>
      </c>
      <c r="R12" s="110">
        <v>14</v>
      </c>
      <c r="S12" s="110">
        <v>30</v>
      </c>
      <c r="T12" s="110" t="s">
        <v>106</v>
      </c>
      <c r="V12" s="110" t="s">
        <v>113</v>
      </c>
      <c r="W12" s="110">
        <v>8.07</v>
      </c>
      <c r="X12" s="110">
        <v>1.763</v>
      </c>
      <c r="Y12" s="110" t="s">
        <v>80</v>
      </c>
      <c r="Z12" s="110" t="s">
        <v>110</v>
      </c>
      <c r="AA12" s="104"/>
    </row>
    <row r="13" spans="2:27" x14ac:dyDescent="0.25">
      <c r="B13" s="110" t="s">
        <v>114</v>
      </c>
      <c r="C13" s="110">
        <v>2.2</v>
      </c>
      <c r="D13" s="110" t="s">
        <v>83</v>
      </c>
      <c r="E13" s="110">
        <v>20</v>
      </c>
      <c r="F13" s="110" t="s">
        <v>80</v>
      </c>
      <c r="G13" s="110">
        <v>0.092</v>
      </c>
      <c r="H13" s="110">
        <v>0.7</v>
      </c>
      <c r="I13" s="110">
        <v>30</v>
      </c>
      <c r="J13" s="110" t="s">
        <v>84</v>
      </c>
      <c r="L13" s="117"/>
      <c r="M13" s="110" t="s">
        <v>115</v>
      </c>
      <c r="N13" s="110">
        <v>16</v>
      </c>
      <c r="O13" s="110">
        <v>150</v>
      </c>
      <c r="P13" s="110">
        <v>3.97</v>
      </c>
      <c r="Q13" s="110" t="s">
        <v>80</v>
      </c>
      <c r="R13" s="110">
        <v>18.1</v>
      </c>
      <c r="S13" s="110">
        <v>30</v>
      </c>
      <c r="T13" s="110" t="s">
        <v>106</v>
      </c>
      <c r="V13" s="110" t="s">
        <v>116</v>
      </c>
      <c r="W13" s="110">
        <v>0.61</v>
      </c>
      <c r="X13" s="110">
        <v>0.132</v>
      </c>
      <c r="Y13" s="110" t="s">
        <v>80</v>
      </c>
      <c r="Z13" s="110" t="s">
        <v>81</v>
      </c>
      <c r="AA13" s="104"/>
    </row>
    <row r="14" spans="2:26" x14ac:dyDescent="0.25">
      <c r="B14" s="110" t="s">
        <v>117</v>
      </c>
      <c r="C14" s="110">
        <v>2.8</v>
      </c>
      <c r="D14" s="110" t="s">
        <v>83</v>
      </c>
      <c r="E14" s="110">
        <v>25</v>
      </c>
      <c r="F14" s="110" t="s">
        <v>80</v>
      </c>
      <c r="G14" s="110">
        <v>0.092</v>
      </c>
      <c r="H14" s="110">
        <v>0.7</v>
      </c>
      <c r="I14" s="110">
        <v>30</v>
      </c>
      <c r="J14" s="110" t="s">
        <v>84</v>
      </c>
      <c r="L14" s="117"/>
      <c r="V14" s="110" t="s">
        <v>118</v>
      </c>
      <c r="W14" s="110">
        <v>0.81</v>
      </c>
      <c r="X14" s="110">
        <v>0.172</v>
      </c>
      <c r="Y14" s="110" t="s">
        <v>80</v>
      </c>
      <c r="Z14" s="110" t="s">
        <v>81</v>
      </c>
    </row>
    <row r="15" spans="2:26" x14ac:dyDescent="0.25">
      <c r="B15" s="110" t="s">
        <v>119</v>
      </c>
      <c r="C15" s="110">
        <v>3.6</v>
      </c>
      <c r="D15" s="110" t="s">
        <v>83</v>
      </c>
      <c r="E15" s="110">
        <v>31.25</v>
      </c>
      <c r="F15" s="110" t="s">
        <v>80</v>
      </c>
      <c r="G15" s="110">
        <v>0.095</v>
      </c>
      <c r="H15" s="110">
        <v>0.7</v>
      </c>
      <c r="I15" s="110">
        <v>30</v>
      </c>
      <c r="J15" s="110" t="s">
        <v>84</v>
      </c>
      <c r="M15" s="110" t="s">
        <v>120</v>
      </c>
      <c r="N15" s="110"/>
      <c r="O15" s="110"/>
      <c r="P15" s="110"/>
      <c r="Q15" s="110"/>
      <c r="R15" s="110"/>
      <c r="V15" s="110" t="s">
        <v>121</v>
      </c>
      <c r="W15" s="110">
        <v>1.06</v>
      </c>
      <c r="X15" s="110">
        <v>0.231</v>
      </c>
      <c r="Y15" s="110" t="s">
        <v>80</v>
      </c>
      <c r="Z15" s="110" t="s">
        <v>91</v>
      </c>
    </row>
    <row r="16" spans="2:25" x14ac:dyDescent="0.25">
      <c r="B16" s="110" t="s">
        <v>122</v>
      </c>
      <c r="C16" s="110">
        <v>4.5</v>
      </c>
      <c r="D16" s="110" t="s">
        <v>83</v>
      </c>
      <c r="E16" s="110">
        <v>40</v>
      </c>
      <c r="F16" s="110" t="s">
        <v>80</v>
      </c>
      <c r="G16" s="110">
        <v>0.182</v>
      </c>
      <c r="H16" s="110">
        <v>0.9</v>
      </c>
      <c r="I16" s="110">
        <v>44</v>
      </c>
      <c r="J16" s="110" t="s">
        <v>97</v>
      </c>
      <c r="M16" s="110" t="s">
        <v>123</v>
      </c>
      <c r="N16" s="110">
        <v>22.4</v>
      </c>
      <c r="O16" s="110">
        <f>8*25</f>
        <v>200</v>
      </c>
      <c r="P16" s="110">
        <v>6.3</v>
      </c>
      <c r="Q16" s="110" t="s">
        <v>124</v>
      </c>
      <c r="R16" s="110">
        <v>17.9</v>
      </c>
      <c r="S16" s="110">
        <v>30</v>
      </c>
      <c r="T16" s="110" t="s">
        <v>125</v>
      </c>
      <c r="Y16" s="104"/>
    </row>
    <row r="17" spans="2:25" x14ac:dyDescent="0.25">
      <c r="B17" s="110" t="s">
        <v>126</v>
      </c>
      <c r="C17" s="110">
        <v>5.6</v>
      </c>
      <c r="D17" s="110" t="s">
        <v>83</v>
      </c>
      <c r="E17" s="110">
        <v>50</v>
      </c>
      <c r="F17" s="110" t="s">
        <v>80</v>
      </c>
      <c r="G17" s="110">
        <v>0.185</v>
      </c>
      <c r="H17" s="110">
        <v>1</v>
      </c>
      <c r="I17" s="110">
        <v>44</v>
      </c>
      <c r="J17" s="110" t="s">
        <v>97</v>
      </c>
      <c r="M17" s="110" t="s">
        <v>127</v>
      </c>
      <c r="N17" s="110">
        <v>25</v>
      </c>
      <c r="O17" s="110">
        <v>223</v>
      </c>
      <c r="P17" s="110">
        <v>7.8</v>
      </c>
      <c r="Q17" s="110" t="s">
        <v>124</v>
      </c>
      <c r="R17" s="110">
        <v>22</v>
      </c>
      <c r="S17" s="110">
        <v>30</v>
      </c>
      <c r="T17" s="110" t="s">
        <v>125</v>
      </c>
      <c r="V17" s="109" t="s">
        <v>128</v>
      </c>
      <c r="W17" s="109"/>
      <c r="X17" s="109"/>
      <c r="Y17" s="109"/>
    </row>
    <row r="18" spans="2:25" x14ac:dyDescent="0.25">
      <c r="B18" s="110" t="s">
        <v>129</v>
      </c>
      <c r="C18" s="110">
        <v>7.1</v>
      </c>
      <c r="D18" s="110" t="s">
        <v>83</v>
      </c>
      <c r="E18" s="110">
        <v>62.5</v>
      </c>
      <c r="F18" s="110" t="s">
        <v>80</v>
      </c>
      <c r="G18" s="110">
        <v>0.192</v>
      </c>
      <c r="H18" s="110">
        <v>1.1</v>
      </c>
      <c r="I18" s="110">
        <v>44</v>
      </c>
      <c r="J18" s="110" t="s">
        <v>104</v>
      </c>
      <c r="V18" s="110" t="s">
        <v>130</v>
      </c>
      <c r="W18" s="110" t="s">
        <v>131</v>
      </c>
      <c r="X18" s="110" t="s">
        <v>132</v>
      </c>
      <c r="Y18" s="110" t="s">
        <v>19</v>
      </c>
    </row>
    <row r="19" spans="13:25" x14ac:dyDescent="0.25">
      <c r="M19" s="110" t="s">
        <v>133</v>
      </c>
      <c r="N19" s="110"/>
      <c r="O19" s="110"/>
      <c r="P19" s="110"/>
      <c r="Q19" s="110"/>
      <c r="R19" s="110"/>
      <c r="V19" s="110" t="s">
        <v>134</v>
      </c>
      <c r="W19" s="110">
        <v>8.5</v>
      </c>
      <c r="X19" s="110">
        <f>W19*3600/1000</f>
        <v>30.6</v>
      </c>
      <c r="Y19" s="110"/>
    </row>
    <row r="20" spans="2:25" x14ac:dyDescent="0.25">
      <c r="B20" s="113" t="s">
        <v>135</v>
      </c>
      <c r="C20" s="110"/>
      <c r="D20" s="110"/>
      <c r="E20" s="110"/>
      <c r="F20" s="110"/>
      <c r="G20" s="110"/>
      <c r="H20" s="110"/>
      <c r="I20" s="110"/>
      <c r="J20" s="110"/>
      <c r="M20" s="110" t="s">
        <v>136</v>
      </c>
      <c r="N20" s="110">
        <v>15.5</v>
      </c>
      <c r="O20" s="110">
        <v>140</v>
      </c>
      <c r="P20" s="110">
        <v>4.35</v>
      </c>
      <c r="Q20" s="110" t="s">
        <v>80</v>
      </c>
      <c r="R20" s="110">
        <v>21.1</v>
      </c>
      <c r="S20" s="110">
        <v>30</v>
      </c>
      <c r="T20" s="110" t="s">
        <v>125</v>
      </c>
      <c r="V20" s="110" t="s">
        <v>137</v>
      </c>
      <c r="W20" s="110">
        <v>3.1</v>
      </c>
      <c r="X20" s="110">
        <f t="shared" ref="X20:X31" si="0">W20*3600/1000</f>
        <v>11.16</v>
      </c>
      <c r="Y20" s="110"/>
    </row>
    <row r="21" spans="2:25" x14ac:dyDescent="0.25">
      <c r="B21" s="110" t="s">
        <v>138</v>
      </c>
      <c r="C21" s="110">
        <v>2.2</v>
      </c>
      <c r="D21" s="110" t="s">
        <v>83</v>
      </c>
      <c r="E21" s="110">
        <v>20</v>
      </c>
      <c r="F21" s="110" t="s">
        <v>80</v>
      </c>
      <c r="G21" s="110">
        <v>0.058</v>
      </c>
      <c r="H21" s="110">
        <v>0.6</v>
      </c>
      <c r="I21" s="110">
        <v>150</v>
      </c>
      <c r="J21" s="110" t="s">
        <v>139</v>
      </c>
      <c r="M21" s="110" t="s">
        <v>140</v>
      </c>
      <c r="N21" s="110">
        <v>20</v>
      </c>
      <c r="O21" s="110">
        <v>180</v>
      </c>
      <c r="P21" s="110">
        <v>5.91</v>
      </c>
      <c r="Q21" s="110" t="s">
        <v>141</v>
      </c>
      <c r="R21" s="110">
        <v>11</v>
      </c>
      <c r="S21" s="110">
        <v>25</v>
      </c>
      <c r="T21" s="110" t="s">
        <v>125</v>
      </c>
      <c r="V21" s="110" t="s">
        <v>142</v>
      </c>
      <c r="W21" s="110">
        <v>5.5</v>
      </c>
      <c r="X21" s="110">
        <f t="shared" si="0"/>
        <v>19.8</v>
      </c>
      <c r="Y21" s="110"/>
    </row>
    <row r="22" spans="2:25" x14ac:dyDescent="0.25">
      <c r="B22" s="110" t="s">
        <v>143</v>
      </c>
      <c r="C22" s="110">
        <v>2.8</v>
      </c>
      <c r="D22" s="110" t="s">
        <v>83</v>
      </c>
      <c r="E22" s="110">
        <v>25</v>
      </c>
      <c r="F22" s="110" t="s">
        <v>80</v>
      </c>
      <c r="G22" s="110">
        <v>0.058</v>
      </c>
      <c r="H22" s="110">
        <v>0.6</v>
      </c>
      <c r="I22" s="110">
        <v>150</v>
      </c>
      <c r="J22" s="110" t="s">
        <v>139</v>
      </c>
      <c r="M22" s="110" t="s">
        <v>144</v>
      </c>
      <c r="N22" s="110">
        <v>24</v>
      </c>
      <c r="O22" s="110">
        <v>215</v>
      </c>
      <c r="P22" s="110">
        <v>7.51</v>
      </c>
      <c r="Q22" s="110" t="s">
        <v>141</v>
      </c>
      <c r="R22" s="110">
        <v>14.1</v>
      </c>
      <c r="S22" s="110">
        <v>25</v>
      </c>
      <c r="T22" s="110" t="s">
        <v>125</v>
      </c>
      <c r="V22" s="110" t="s">
        <v>145</v>
      </c>
      <c r="W22" s="110">
        <v>5.5</v>
      </c>
      <c r="X22" s="110">
        <f t="shared" si="0"/>
        <v>19.8</v>
      </c>
      <c r="Y22" s="110"/>
    </row>
    <row r="23" spans="2:25" x14ac:dyDescent="0.25">
      <c r="B23" s="110" t="s">
        <v>146</v>
      </c>
      <c r="C23" s="110">
        <v>3.6</v>
      </c>
      <c r="D23" s="110" t="s">
        <v>83</v>
      </c>
      <c r="E23" s="110">
        <v>31.25</v>
      </c>
      <c r="F23" s="110" t="s">
        <v>80</v>
      </c>
      <c r="G23" s="110">
        <v>0.066</v>
      </c>
      <c r="H23" s="110">
        <v>0.7</v>
      </c>
      <c r="I23" s="110">
        <v>150</v>
      </c>
      <c r="J23" s="110" t="s">
        <v>139</v>
      </c>
      <c r="V23" s="110" t="s">
        <v>147</v>
      </c>
      <c r="W23" s="110">
        <v>5.1</v>
      </c>
      <c r="X23" s="110">
        <f t="shared" si="0"/>
        <v>18.36</v>
      </c>
      <c r="Y23" s="110"/>
    </row>
    <row r="24" spans="2:25" x14ac:dyDescent="0.25">
      <c r="B24" s="110" t="s">
        <v>148</v>
      </c>
      <c r="C24" s="110">
        <v>4.5</v>
      </c>
      <c r="D24" s="110" t="s">
        <v>83</v>
      </c>
      <c r="E24" s="110">
        <v>40</v>
      </c>
      <c r="F24" s="110" t="s">
        <v>80</v>
      </c>
      <c r="G24" s="110">
        <v>0.101</v>
      </c>
      <c r="H24" s="110">
        <v>1.2</v>
      </c>
      <c r="I24" s="110">
        <v>150</v>
      </c>
      <c r="J24" s="110" t="s">
        <v>149</v>
      </c>
      <c r="M24" s="110" t="s">
        <v>150</v>
      </c>
      <c r="N24" s="110"/>
      <c r="O24" s="110"/>
      <c r="P24" s="110"/>
      <c r="Q24" s="110"/>
      <c r="R24" s="110"/>
      <c r="V24" s="110" t="s">
        <v>151</v>
      </c>
      <c r="W24" s="110">
        <v>4.8</v>
      </c>
      <c r="X24" s="110">
        <f t="shared" si="0"/>
        <v>17.28</v>
      </c>
      <c r="Y24" s="110"/>
    </row>
    <row r="25" spans="2:25" x14ac:dyDescent="0.25">
      <c r="B25" s="110" t="s">
        <v>152</v>
      </c>
      <c r="C25" s="110">
        <v>5.6</v>
      </c>
      <c r="D25" s="110" t="s">
        <v>83</v>
      </c>
      <c r="E25" s="110">
        <v>50</v>
      </c>
      <c r="F25" s="110" t="s">
        <v>80</v>
      </c>
      <c r="G25" s="110">
        <v>0.075</v>
      </c>
      <c r="H25" s="110">
        <v>1.1</v>
      </c>
      <c r="I25" s="110">
        <v>150</v>
      </c>
      <c r="J25" s="110" t="s">
        <v>153</v>
      </c>
      <c r="M25" s="110" t="s">
        <v>154</v>
      </c>
      <c r="N25" s="110">
        <v>28</v>
      </c>
      <c r="O25" s="110">
        <v>250</v>
      </c>
      <c r="P25" s="110">
        <v>6.72</v>
      </c>
      <c r="Q25" s="110" t="s">
        <v>141</v>
      </c>
      <c r="R25" s="110">
        <v>12.2</v>
      </c>
      <c r="S25" s="110">
        <v>25</v>
      </c>
      <c r="T25" s="110" t="s">
        <v>155</v>
      </c>
      <c r="V25" s="110" t="s">
        <v>156</v>
      </c>
      <c r="W25" s="110">
        <v>4.7</v>
      </c>
      <c r="X25" s="110">
        <f t="shared" si="0"/>
        <v>16.92</v>
      </c>
      <c r="Y25" s="110"/>
    </row>
    <row r="26" spans="2:25" x14ac:dyDescent="0.25">
      <c r="B26" s="110" t="s">
        <v>157</v>
      </c>
      <c r="C26" s="110">
        <v>7.1</v>
      </c>
      <c r="D26" s="110" t="s">
        <v>83</v>
      </c>
      <c r="E26" s="110">
        <v>62.5</v>
      </c>
      <c r="F26" s="110" t="s">
        <v>80</v>
      </c>
      <c r="G26" s="110">
        <v>0.106</v>
      </c>
      <c r="H26" s="110">
        <v>1.4</v>
      </c>
      <c r="I26" s="110">
        <v>150</v>
      </c>
      <c r="J26" s="110" t="s">
        <v>153</v>
      </c>
      <c r="M26" s="110" t="s">
        <v>158</v>
      </c>
      <c r="N26" s="110">
        <v>33.5</v>
      </c>
      <c r="O26" s="110">
        <v>300</v>
      </c>
      <c r="P26" s="110">
        <v>8.93</v>
      </c>
      <c r="Q26" s="110" t="s">
        <v>141</v>
      </c>
      <c r="R26" s="110">
        <v>15.7</v>
      </c>
      <c r="S26" s="110">
        <v>30</v>
      </c>
      <c r="T26" s="110" t="s">
        <v>155</v>
      </c>
      <c r="V26" s="110" t="s">
        <v>159</v>
      </c>
      <c r="W26" s="110">
        <v>5.5</v>
      </c>
      <c r="X26" s="110">
        <f t="shared" si="0"/>
        <v>19.8</v>
      </c>
      <c r="Y26" s="110"/>
    </row>
    <row r="27" spans="2:25" x14ac:dyDescent="0.25">
      <c r="B27" s="110" t="s">
        <v>160</v>
      </c>
      <c r="C27" s="110">
        <v>9</v>
      </c>
      <c r="D27" s="110" t="s">
        <v>83</v>
      </c>
      <c r="E27" s="110">
        <v>80</v>
      </c>
      <c r="F27" s="110" t="s">
        <v>80</v>
      </c>
      <c r="G27" s="110">
        <v>0.126</v>
      </c>
      <c r="H27" s="110">
        <v>1.5</v>
      </c>
      <c r="I27" s="110">
        <v>150</v>
      </c>
      <c r="J27" s="110" t="s">
        <v>153</v>
      </c>
      <c r="V27" s="110" t="s">
        <v>161</v>
      </c>
      <c r="W27" s="110">
        <v>5.1</v>
      </c>
      <c r="X27" s="110">
        <f t="shared" si="0"/>
        <v>18.36</v>
      </c>
      <c r="Y27" s="110"/>
    </row>
    <row r="28" spans="2:25" x14ac:dyDescent="0.25">
      <c r="B28" s="110" t="s">
        <v>162</v>
      </c>
      <c r="C28" s="110">
        <v>11.2</v>
      </c>
      <c r="D28" s="110" t="s">
        <v>83</v>
      </c>
      <c r="E28" s="110">
        <v>100</v>
      </c>
      <c r="F28" s="110" t="s">
        <v>80</v>
      </c>
      <c r="G28" s="110">
        <v>0.151</v>
      </c>
      <c r="H28" s="110">
        <v>2</v>
      </c>
      <c r="I28" s="110">
        <v>150</v>
      </c>
      <c r="J28" s="110" t="s">
        <v>163</v>
      </c>
      <c r="M28" s="113" t="s">
        <v>164</v>
      </c>
      <c r="N28" s="110"/>
      <c r="O28" s="110"/>
      <c r="P28" s="110"/>
      <c r="Q28" s="110"/>
      <c r="R28" s="110"/>
      <c r="V28" s="110" t="s">
        <v>165</v>
      </c>
      <c r="W28" s="110">
        <v>4.6</v>
      </c>
      <c r="X28" s="110">
        <f t="shared" si="0"/>
        <v>16.56</v>
      </c>
      <c r="Y28" s="110"/>
    </row>
    <row r="29" spans="2:25" x14ac:dyDescent="0.25">
      <c r="B29" s="110" t="s">
        <v>166</v>
      </c>
      <c r="C29" s="110">
        <v>14</v>
      </c>
      <c r="D29" s="110" t="s">
        <v>83</v>
      </c>
      <c r="E29" s="110">
        <v>125</v>
      </c>
      <c r="F29" s="110" t="s">
        <v>80</v>
      </c>
      <c r="G29" s="110">
        <v>0.206</v>
      </c>
      <c r="H29" s="110">
        <v>2.2</v>
      </c>
      <c r="I29" s="110">
        <v>150</v>
      </c>
      <c r="J29" s="110" t="s">
        <v>163</v>
      </c>
      <c r="M29" s="110" t="s">
        <v>167</v>
      </c>
      <c r="N29" s="110">
        <v>22.4</v>
      </c>
      <c r="O29" s="110">
        <f>8*25</f>
        <v>200</v>
      </c>
      <c r="P29" s="110">
        <v>5.32</v>
      </c>
      <c r="Q29" s="110" t="s">
        <v>141</v>
      </c>
      <c r="R29" s="110">
        <v>10.3</v>
      </c>
      <c r="S29" s="110">
        <v>20</v>
      </c>
      <c r="T29" s="118" t="s">
        <v>168</v>
      </c>
      <c r="V29" s="110" t="s">
        <v>169</v>
      </c>
      <c r="W29" s="110">
        <v>3.5</v>
      </c>
      <c r="X29" s="110">
        <f t="shared" si="0"/>
        <v>12.6</v>
      </c>
      <c r="Y29" s="110" t="s">
        <v>170</v>
      </c>
    </row>
    <row r="30" spans="2:25" x14ac:dyDescent="0.25">
      <c r="B30" s="110" t="s">
        <v>171</v>
      </c>
      <c r="C30" s="110">
        <v>16</v>
      </c>
      <c r="D30" s="110" t="s">
        <v>83</v>
      </c>
      <c r="E30" s="110">
        <v>140</v>
      </c>
      <c r="F30" s="110" t="s">
        <v>80</v>
      </c>
      <c r="G30" s="110">
        <v>0.222</v>
      </c>
      <c r="H30" s="110">
        <v>2.5</v>
      </c>
      <c r="I30" s="110">
        <v>140</v>
      </c>
      <c r="J30" s="110" t="s">
        <v>172</v>
      </c>
      <c r="M30" s="110" t="s">
        <v>173</v>
      </c>
      <c r="N30" s="110">
        <v>28</v>
      </c>
      <c r="O30" s="110">
        <f>10*25</f>
        <v>250</v>
      </c>
      <c r="P30" s="110">
        <v>7.26</v>
      </c>
      <c r="Q30" s="110" t="s">
        <v>141</v>
      </c>
      <c r="R30" s="110">
        <v>13.6</v>
      </c>
      <c r="S30" s="110">
        <v>25</v>
      </c>
      <c r="T30" s="118" t="s">
        <v>168</v>
      </c>
      <c r="V30" s="110" t="s">
        <v>174</v>
      </c>
      <c r="W30" s="110">
        <v>3.5</v>
      </c>
      <c r="X30" s="110">
        <f t="shared" si="0"/>
        <v>12.6</v>
      </c>
      <c r="Y30" s="110"/>
    </row>
    <row r="31" ht="18.6" customHeight="1" spans="13:25" x14ac:dyDescent="0.25">
      <c r="M31" s="110" t="s">
        <v>175</v>
      </c>
      <c r="N31" s="110">
        <v>33.5</v>
      </c>
      <c r="O31" s="110">
        <f>12*25</f>
        <v>300</v>
      </c>
      <c r="P31" s="110">
        <v>9.26</v>
      </c>
      <c r="Q31" s="110" t="s">
        <v>141</v>
      </c>
      <c r="R31" s="110">
        <v>17</v>
      </c>
      <c r="S31" s="110">
        <v>25</v>
      </c>
      <c r="T31" s="118" t="s">
        <v>168</v>
      </c>
      <c r="V31" s="110" t="s">
        <v>176</v>
      </c>
      <c r="W31" s="110">
        <v>6</v>
      </c>
      <c r="X31" s="110">
        <f t="shared" si="0"/>
        <v>21.6</v>
      </c>
      <c r="Y31" s="110" t="s">
        <v>177</v>
      </c>
    </row>
    <row r="32" spans="2:20" x14ac:dyDescent="0.25">
      <c r="B32" s="113" t="s">
        <v>178</v>
      </c>
      <c r="C32" s="110"/>
      <c r="D32" s="110"/>
      <c r="E32" s="110"/>
      <c r="F32" s="110"/>
      <c r="G32" s="110"/>
      <c r="H32" s="110"/>
      <c r="I32" s="110"/>
      <c r="J32" s="110"/>
      <c r="M32" s="110" t="s">
        <v>179</v>
      </c>
      <c r="N32" s="110">
        <v>40</v>
      </c>
      <c r="O32" s="110">
        <f>14*25</f>
        <v>350</v>
      </c>
      <c r="P32" s="110">
        <v>11.35</v>
      </c>
      <c r="Q32" s="110" t="s">
        <v>141</v>
      </c>
      <c r="R32" s="110">
        <v>20.9</v>
      </c>
      <c r="S32" s="110">
        <v>35</v>
      </c>
      <c r="T32" s="118" t="s">
        <v>180</v>
      </c>
    </row>
    <row r="33" spans="2:25" x14ac:dyDescent="0.25">
      <c r="B33" s="110" t="s">
        <v>181</v>
      </c>
      <c r="C33" s="110">
        <v>2.2</v>
      </c>
      <c r="D33" s="110" t="s">
        <v>83</v>
      </c>
      <c r="E33" s="110">
        <v>20</v>
      </c>
      <c r="F33" s="110" t="s">
        <v>80</v>
      </c>
      <c r="G33" s="110">
        <v>0.056</v>
      </c>
      <c r="H33" s="110">
        <v>0.5</v>
      </c>
      <c r="I33" s="110">
        <v>100</v>
      </c>
      <c r="J33" s="110" t="s">
        <v>182</v>
      </c>
      <c r="M33" s="110" t="s">
        <v>183</v>
      </c>
      <c r="N33" s="110">
        <v>45</v>
      </c>
      <c r="O33" s="110">
        <f>16*25</f>
        <v>400</v>
      </c>
      <c r="P33" s="110">
        <v>12.15</v>
      </c>
      <c r="Q33" s="110" t="s">
        <v>141</v>
      </c>
      <c r="R33" s="110">
        <v>21.9</v>
      </c>
      <c r="S33" s="110">
        <v>40</v>
      </c>
      <c r="T33" s="118" t="s">
        <v>180</v>
      </c>
      <c r="V33" s="119" t="s">
        <v>184</v>
      </c>
      <c r="W33" s="120"/>
      <c r="X33" s="120"/>
      <c r="Y33" s="121"/>
    </row>
    <row r="34" spans="2:25" x14ac:dyDescent="0.25">
      <c r="B34" s="110" t="s">
        <v>185</v>
      </c>
      <c r="C34" s="110">
        <v>2.8</v>
      </c>
      <c r="D34" s="110" t="s">
        <v>83</v>
      </c>
      <c r="E34" s="110">
        <v>25</v>
      </c>
      <c r="F34" s="110" t="s">
        <v>80</v>
      </c>
      <c r="G34" s="110">
        <v>0.056</v>
      </c>
      <c r="H34" s="110">
        <v>0.5</v>
      </c>
      <c r="I34" s="110">
        <v>100</v>
      </c>
      <c r="J34" s="110" t="s">
        <v>182</v>
      </c>
      <c r="M34" s="110" t="s">
        <v>186</v>
      </c>
      <c r="N34" s="110">
        <v>50</v>
      </c>
      <c r="O34" s="110">
        <f>18*25</f>
        <v>450</v>
      </c>
      <c r="P34" s="110">
        <v>14.82</v>
      </c>
      <c r="Q34" s="110" t="s">
        <v>141</v>
      </c>
      <c r="R34" s="110">
        <v>26.9</v>
      </c>
      <c r="S34" s="110">
        <v>40</v>
      </c>
      <c r="T34" s="118" t="s">
        <v>180</v>
      </c>
      <c r="V34" s="110" t="s">
        <v>65</v>
      </c>
      <c r="W34" s="113" t="s">
        <v>71</v>
      </c>
      <c r="X34" s="113" t="s">
        <v>70</v>
      </c>
      <c r="Y34" s="113" t="s">
        <v>69</v>
      </c>
    </row>
    <row r="35" spans="2:25" x14ac:dyDescent="0.25">
      <c r="B35" s="110" t="s">
        <v>187</v>
      </c>
      <c r="C35" s="110">
        <v>3.6</v>
      </c>
      <c r="D35" s="110" t="s">
        <v>83</v>
      </c>
      <c r="E35" s="110">
        <v>31.25</v>
      </c>
      <c r="F35" s="110" t="s">
        <v>80</v>
      </c>
      <c r="G35" s="110">
        <v>0.059</v>
      </c>
      <c r="H35" s="110">
        <v>0.5</v>
      </c>
      <c r="I35" s="110">
        <v>100</v>
      </c>
      <c r="J35" s="110" t="s">
        <v>182</v>
      </c>
      <c r="M35" s="110" t="s">
        <v>188</v>
      </c>
      <c r="N35" s="110">
        <v>54</v>
      </c>
      <c r="O35" s="110">
        <f>20*25</f>
        <v>500</v>
      </c>
      <c r="P35" s="110">
        <v>16.24</v>
      </c>
      <c r="Q35" s="110" t="s">
        <v>141</v>
      </c>
      <c r="R35" s="110">
        <v>28.8</v>
      </c>
      <c r="S35" s="110">
        <v>45</v>
      </c>
      <c r="T35" s="118" t="s">
        <v>180</v>
      </c>
      <c r="V35" s="110" t="s">
        <v>189</v>
      </c>
      <c r="W35" s="110">
        <v>0.71</v>
      </c>
      <c r="X35" s="110">
        <v>0.15</v>
      </c>
      <c r="Y35" s="110" t="s">
        <v>80</v>
      </c>
    </row>
    <row r="36" spans="2:25" x14ac:dyDescent="0.25">
      <c r="B36" s="110" t="s">
        <v>190</v>
      </c>
      <c r="C36" s="110">
        <v>4.5</v>
      </c>
      <c r="D36" s="110" t="s">
        <v>83</v>
      </c>
      <c r="E36" s="110">
        <v>40</v>
      </c>
      <c r="F36" s="110" t="s">
        <v>80</v>
      </c>
      <c r="G36" s="110">
        <v>0.15</v>
      </c>
      <c r="H36" s="110">
        <v>1.1</v>
      </c>
      <c r="I36" s="110">
        <v>160</v>
      </c>
      <c r="J36" s="110" t="s">
        <v>191</v>
      </c>
      <c r="M36" s="110" t="s">
        <v>192</v>
      </c>
      <c r="N36" s="110">
        <v>61.5</v>
      </c>
      <c r="O36" s="110">
        <f>22*25</f>
        <v>550</v>
      </c>
      <c r="P36" s="110">
        <v>16.52</v>
      </c>
      <c r="Q36" s="110" t="s">
        <v>141</v>
      </c>
      <c r="R36" s="110">
        <v>30.6</v>
      </c>
      <c r="S36" s="110">
        <v>50</v>
      </c>
      <c r="T36" s="118" t="s">
        <v>193</v>
      </c>
      <c r="V36" s="110" t="s">
        <v>194</v>
      </c>
      <c r="W36" s="110">
        <v>1.73</v>
      </c>
      <c r="X36" s="110">
        <v>0.365</v>
      </c>
      <c r="Y36" s="110" t="s">
        <v>80</v>
      </c>
    </row>
    <row r="37" spans="2:25" x14ac:dyDescent="0.25">
      <c r="B37" s="110" t="s">
        <v>195</v>
      </c>
      <c r="C37" s="110">
        <v>5.6</v>
      </c>
      <c r="D37" s="110" t="s">
        <v>83</v>
      </c>
      <c r="E37" s="110">
        <v>50</v>
      </c>
      <c r="F37" s="110" t="s">
        <v>80</v>
      </c>
      <c r="G37" s="110">
        <v>0.127</v>
      </c>
      <c r="H37" s="110">
        <v>1.3</v>
      </c>
      <c r="I37" s="110">
        <v>200</v>
      </c>
      <c r="J37" s="110" t="s">
        <v>196</v>
      </c>
      <c r="M37" s="110" t="s">
        <v>197</v>
      </c>
      <c r="N37" s="110">
        <v>67</v>
      </c>
      <c r="O37" s="110">
        <f>25*24</f>
        <v>600</v>
      </c>
      <c r="P37" s="110">
        <v>18.52</v>
      </c>
      <c r="Q37" s="110" t="s">
        <v>141</v>
      </c>
      <c r="R37" s="110">
        <v>34</v>
      </c>
      <c r="S37" s="110">
        <v>50</v>
      </c>
      <c r="T37" s="118" t="s">
        <v>193</v>
      </c>
      <c r="V37" s="110" t="s">
        <v>198</v>
      </c>
      <c r="W37" s="110">
        <v>2.88</v>
      </c>
      <c r="X37" s="110">
        <v>0.614</v>
      </c>
      <c r="Y37" s="110" t="s">
        <v>80</v>
      </c>
    </row>
    <row r="38" spans="2:20" x14ac:dyDescent="0.25">
      <c r="B38" s="110" t="s">
        <v>199</v>
      </c>
      <c r="C38" s="110">
        <v>7.1</v>
      </c>
      <c r="D38" s="110" t="s">
        <v>83</v>
      </c>
      <c r="E38" s="110">
        <v>62.5</v>
      </c>
      <c r="F38" s="110" t="s">
        <v>80</v>
      </c>
      <c r="G38" s="110">
        <v>0.138</v>
      </c>
      <c r="H38" s="110">
        <v>1.4</v>
      </c>
      <c r="I38" s="110">
        <v>200</v>
      </c>
      <c r="J38" s="110" t="s">
        <v>196</v>
      </c>
      <c r="M38" s="110" t="s">
        <v>200</v>
      </c>
      <c r="N38" s="110">
        <v>73.5</v>
      </c>
      <c r="O38" s="110">
        <f>25*26</f>
        <v>650</v>
      </c>
      <c r="P38" s="110">
        <v>20.61</v>
      </c>
      <c r="Q38" s="110" t="s">
        <v>141</v>
      </c>
      <c r="R38" s="110">
        <v>37.9</v>
      </c>
      <c r="S38" s="110">
        <v>60</v>
      </c>
      <c r="T38" s="118" t="s">
        <v>201</v>
      </c>
    </row>
    <row r="39" spans="2:20" x14ac:dyDescent="0.25">
      <c r="B39" s="110" t="s">
        <v>202</v>
      </c>
      <c r="C39" s="110">
        <v>9</v>
      </c>
      <c r="D39" s="110" t="s">
        <v>83</v>
      </c>
      <c r="E39" s="110">
        <v>80</v>
      </c>
      <c r="F39" s="110" t="s">
        <v>80</v>
      </c>
      <c r="G39" s="110">
        <v>0.184</v>
      </c>
      <c r="H39" s="110">
        <v>1.8</v>
      </c>
      <c r="I39" s="110">
        <v>200</v>
      </c>
      <c r="J39" s="110" t="s">
        <v>196</v>
      </c>
      <c r="M39" s="110" t="s">
        <v>203</v>
      </c>
      <c r="N39" s="110">
        <v>78.5</v>
      </c>
      <c r="O39" s="110">
        <f>28*25</f>
        <v>700</v>
      </c>
      <c r="P39" s="110">
        <v>21.41</v>
      </c>
      <c r="Q39" s="110" t="s">
        <v>141</v>
      </c>
      <c r="R39" s="110">
        <v>38.9</v>
      </c>
      <c r="S39" s="110">
        <v>70</v>
      </c>
      <c r="T39" s="118" t="s">
        <v>201</v>
      </c>
    </row>
    <row r="40" spans="2:20" x14ac:dyDescent="0.25">
      <c r="B40" s="110" t="s">
        <v>204</v>
      </c>
      <c r="C40" s="110">
        <v>11.2</v>
      </c>
      <c r="D40" s="110" t="s">
        <v>83</v>
      </c>
      <c r="E40" s="110">
        <v>100</v>
      </c>
      <c r="F40" s="110" t="s">
        <v>80</v>
      </c>
      <c r="G40" s="110">
        <v>0.214</v>
      </c>
      <c r="H40" s="110">
        <v>2.3</v>
      </c>
      <c r="I40" s="110">
        <v>200</v>
      </c>
      <c r="J40" s="110" t="s">
        <v>205</v>
      </c>
      <c r="M40" s="110" t="s">
        <v>206</v>
      </c>
      <c r="N40" s="110">
        <v>85</v>
      </c>
      <c r="O40" s="110">
        <f>30*25</f>
        <v>750</v>
      </c>
      <c r="P40" s="110">
        <v>23.5</v>
      </c>
      <c r="Q40" s="110" t="s">
        <v>141</v>
      </c>
      <c r="R40" s="110">
        <v>42.8</v>
      </c>
      <c r="S40" s="110">
        <v>80</v>
      </c>
      <c r="T40" s="103" t="s">
        <v>207</v>
      </c>
    </row>
    <row r="41" spans="2:20" x14ac:dyDescent="0.25">
      <c r="B41" s="110" t="s">
        <v>208</v>
      </c>
      <c r="C41" s="110">
        <v>14</v>
      </c>
      <c r="D41" s="110" t="s">
        <v>83</v>
      </c>
      <c r="E41" s="110">
        <v>125</v>
      </c>
      <c r="F41" s="110" t="s">
        <v>80</v>
      </c>
      <c r="G41" s="110">
        <v>0.283</v>
      </c>
      <c r="H41" s="110">
        <v>2.7</v>
      </c>
      <c r="I41" s="110">
        <v>200</v>
      </c>
      <c r="J41" s="110" t="s">
        <v>205</v>
      </c>
      <c r="M41" s="110" t="s">
        <v>209</v>
      </c>
      <c r="N41" s="110">
        <v>90</v>
      </c>
      <c r="O41" s="110">
        <f>25*32</f>
        <v>800</v>
      </c>
      <c r="P41" s="110">
        <v>26.17</v>
      </c>
      <c r="Q41" s="110" t="s">
        <v>141</v>
      </c>
      <c r="R41" s="110">
        <v>47.8</v>
      </c>
      <c r="S41" s="110">
        <v>80</v>
      </c>
      <c r="T41" s="103" t="s">
        <v>210</v>
      </c>
    </row>
    <row r="42" spans="2:20" x14ac:dyDescent="0.25">
      <c r="B42" s="110" t="s">
        <v>211</v>
      </c>
      <c r="C42" s="110">
        <v>16</v>
      </c>
      <c r="D42" s="110" t="s">
        <v>83</v>
      </c>
      <c r="E42" s="110">
        <v>140</v>
      </c>
      <c r="F42" s="110" t="s">
        <v>80</v>
      </c>
      <c r="G42" s="110">
        <v>0.404</v>
      </c>
      <c r="H42" s="110">
        <v>2.7</v>
      </c>
      <c r="I42" s="110">
        <v>140</v>
      </c>
      <c r="J42" s="110" t="s">
        <v>205</v>
      </c>
      <c r="M42" s="110" t="s">
        <v>212</v>
      </c>
      <c r="N42" s="110">
        <v>95</v>
      </c>
      <c r="O42" s="110">
        <f>25*34</f>
        <v>850</v>
      </c>
      <c r="P42" s="110">
        <v>26.97</v>
      </c>
      <c r="Q42" s="110" t="s">
        <v>141</v>
      </c>
      <c r="R42" s="110">
        <v>48.8</v>
      </c>
      <c r="S42" s="110">
        <v>80</v>
      </c>
      <c r="T42" s="103" t="s">
        <v>213</v>
      </c>
    </row>
    <row r="43" spans="2:20" x14ac:dyDescent="0.25">
      <c r="B43" s="110" t="s">
        <v>214</v>
      </c>
      <c r="C43" s="110">
        <v>22.4</v>
      </c>
      <c r="D43" s="110" t="s">
        <v>83</v>
      </c>
      <c r="E43" s="110">
        <v>200</v>
      </c>
      <c r="F43" s="110" t="s">
        <v>80</v>
      </c>
      <c r="G43" s="110">
        <v>1.49</v>
      </c>
      <c r="H43" s="110">
        <v>7.2</v>
      </c>
      <c r="I43" s="110">
        <v>270</v>
      </c>
      <c r="J43" s="110" t="s">
        <v>215</v>
      </c>
      <c r="M43" s="110" t="s">
        <v>216</v>
      </c>
      <c r="N43" s="110">
        <v>100</v>
      </c>
      <c r="O43" s="110">
        <f>25*36</f>
        <v>900</v>
      </c>
      <c r="P43" s="110">
        <v>29.64</v>
      </c>
      <c r="Q43" s="110" t="s">
        <v>141</v>
      </c>
      <c r="R43" s="110">
        <v>53.8</v>
      </c>
      <c r="S43" s="110">
        <v>80</v>
      </c>
      <c r="T43" s="103" t="s">
        <v>217</v>
      </c>
    </row>
    <row r="44" spans="2:20" x14ac:dyDescent="0.25">
      <c r="B44" s="110" t="s">
        <v>218</v>
      </c>
      <c r="C44" s="110">
        <v>28</v>
      </c>
      <c r="D44" s="110" t="s">
        <v>83</v>
      </c>
      <c r="E44" s="110">
        <v>250</v>
      </c>
      <c r="F44" s="110" t="s">
        <v>80</v>
      </c>
      <c r="G44" s="110">
        <v>1.684</v>
      </c>
      <c r="H44" s="110">
        <v>8.1</v>
      </c>
      <c r="I44" s="110">
        <v>270</v>
      </c>
      <c r="J44" s="110" t="s">
        <v>215</v>
      </c>
      <c r="M44" s="110" t="s">
        <v>219</v>
      </c>
      <c r="N44" s="110">
        <v>104</v>
      </c>
      <c r="O44" s="110">
        <f>25*38</f>
        <v>950</v>
      </c>
      <c r="P44" s="110">
        <v>31.06</v>
      </c>
      <c r="Q44" s="110" t="s">
        <v>141</v>
      </c>
      <c r="R44" s="110">
        <v>55.7</v>
      </c>
      <c r="S44" s="110">
        <v>90</v>
      </c>
      <c r="T44" s="103" t="s">
        <v>220</v>
      </c>
    </row>
    <row r="45" spans="2:20" x14ac:dyDescent="0.25">
      <c r="B45" s="110" t="s">
        <v>221</v>
      </c>
      <c r="C45" s="110">
        <v>22.4</v>
      </c>
      <c r="D45" s="110" t="s">
        <v>83</v>
      </c>
      <c r="E45" s="110">
        <v>200</v>
      </c>
      <c r="F45" s="110" t="s">
        <v>80</v>
      </c>
      <c r="G45" s="110">
        <v>0.55</v>
      </c>
      <c r="H45" s="110">
        <v>3.9</v>
      </c>
      <c r="I45" s="110">
        <v>250</v>
      </c>
      <c r="J45" s="110" t="s">
        <v>222</v>
      </c>
      <c r="M45" s="110" t="s">
        <v>223</v>
      </c>
      <c r="N45" s="110">
        <v>108</v>
      </c>
      <c r="O45" s="110">
        <f>40*25</f>
        <v>1000</v>
      </c>
      <c r="P45" s="110">
        <v>32.48</v>
      </c>
      <c r="Q45" s="110" t="s">
        <v>141</v>
      </c>
      <c r="R45" s="110">
        <v>57.6</v>
      </c>
      <c r="S45" s="110">
        <v>90</v>
      </c>
      <c r="T45" s="103" t="s">
        <v>224</v>
      </c>
    </row>
    <row r="46" spans="2:20" x14ac:dyDescent="0.25">
      <c r="B46" s="110" t="s">
        <v>225</v>
      </c>
      <c r="C46" s="110">
        <v>28</v>
      </c>
      <c r="D46" s="110" t="s">
        <v>83</v>
      </c>
      <c r="E46" s="110">
        <v>250</v>
      </c>
      <c r="F46" s="110" t="s">
        <v>80</v>
      </c>
      <c r="G46" s="110">
        <v>0.67</v>
      </c>
      <c r="H46" s="110">
        <v>4.7</v>
      </c>
      <c r="I46" s="110">
        <v>250</v>
      </c>
      <c r="J46" s="110" t="s">
        <v>222</v>
      </c>
      <c r="M46" s="110" t="s">
        <v>226</v>
      </c>
      <c r="N46" s="110">
        <v>117</v>
      </c>
      <c r="O46" s="110">
        <f>42*25</f>
        <v>1050</v>
      </c>
      <c r="P46" s="110">
        <v>33.34</v>
      </c>
      <c r="Q46" s="110" t="s">
        <v>141</v>
      </c>
      <c r="R46" s="110">
        <v>60.9</v>
      </c>
      <c r="S46" s="110">
        <v>90</v>
      </c>
      <c r="T46" s="118" t="s">
        <v>227</v>
      </c>
    </row>
    <row r="47" spans="4:20" x14ac:dyDescent="0.25">
      <c r="D47" s="103"/>
      <c r="M47" s="110" t="s">
        <v>228</v>
      </c>
      <c r="N47" s="110">
        <v>121</v>
      </c>
      <c r="O47" s="110">
        <f>44*25</f>
        <v>1100</v>
      </c>
      <c r="P47" s="110">
        <v>34.76</v>
      </c>
      <c r="Q47" s="110" t="s">
        <v>141</v>
      </c>
      <c r="R47" s="110">
        <v>62.8</v>
      </c>
      <c r="S47" s="110">
        <v>100</v>
      </c>
      <c r="T47" s="118" t="s">
        <v>229</v>
      </c>
    </row>
    <row r="48" spans="2:20" x14ac:dyDescent="0.25">
      <c r="B48" s="113" t="s">
        <v>230</v>
      </c>
      <c r="C48" s="110"/>
      <c r="D48" s="110"/>
      <c r="E48" s="110"/>
      <c r="F48" s="110"/>
      <c r="G48" s="110"/>
      <c r="H48" s="110"/>
      <c r="J48" s="110"/>
      <c r="M48" s="110" t="s">
        <v>231</v>
      </c>
      <c r="N48" s="110">
        <v>130</v>
      </c>
      <c r="O48" s="110">
        <f>46*25</f>
        <v>1150</v>
      </c>
      <c r="P48" s="110">
        <v>37.52</v>
      </c>
      <c r="Q48" s="110" t="s">
        <v>141</v>
      </c>
      <c r="R48" s="110">
        <v>68.7</v>
      </c>
      <c r="S48" s="110">
        <v>110</v>
      </c>
      <c r="T48" s="118" t="s">
        <v>232</v>
      </c>
    </row>
    <row r="49" spans="2:20" x14ac:dyDescent="0.25">
      <c r="B49" s="110" t="s">
        <v>233</v>
      </c>
      <c r="C49" s="110">
        <v>14</v>
      </c>
      <c r="D49" s="110" t="s">
        <v>83</v>
      </c>
      <c r="E49" s="110">
        <v>125</v>
      </c>
      <c r="F49" s="110" t="s">
        <v>80</v>
      </c>
      <c r="G49" s="110">
        <v>0.359</v>
      </c>
      <c r="H49" s="110">
        <v>1.7</v>
      </c>
      <c r="J49" s="110" t="s">
        <v>234</v>
      </c>
      <c r="M49" s="110" t="s">
        <v>235</v>
      </c>
      <c r="N49" s="110">
        <v>135</v>
      </c>
      <c r="O49" s="110">
        <f>48*25</f>
        <v>1200</v>
      </c>
      <c r="P49" s="110">
        <v>38.32</v>
      </c>
      <c r="Q49" s="110" t="s">
        <v>141</v>
      </c>
      <c r="R49" s="110">
        <v>69.7</v>
      </c>
      <c r="S49" s="110">
        <v>110</v>
      </c>
      <c r="T49" s="118" t="s">
        <v>232</v>
      </c>
    </row>
    <row r="50" spans="2:20" x14ac:dyDescent="0.25">
      <c r="B50" s="110" t="s">
        <v>236</v>
      </c>
      <c r="C50" s="110">
        <v>22.4</v>
      </c>
      <c r="D50" s="110" t="s">
        <v>83</v>
      </c>
      <c r="E50" s="110">
        <v>200</v>
      </c>
      <c r="F50" s="110" t="s">
        <v>80</v>
      </c>
      <c r="G50" s="110">
        <v>0.548</v>
      </c>
      <c r="H50" s="110">
        <v>2.9</v>
      </c>
      <c r="J50" s="110" t="s">
        <v>215</v>
      </c>
      <c r="M50" s="110" t="s">
        <v>237</v>
      </c>
      <c r="N50" s="110">
        <v>140</v>
      </c>
      <c r="O50" s="110">
        <f>50*25</f>
        <v>1250</v>
      </c>
      <c r="P50" s="110">
        <v>40.99</v>
      </c>
      <c r="Q50" s="110" t="s">
        <v>141</v>
      </c>
      <c r="R50" s="110">
        <v>74.7</v>
      </c>
      <c r="S50" s="110">
        <v>110</v>
      </c>
      <c r="T50" s="118" t="s">
        <v>232</v>
      </c>
    </row>
    <row r="51" spans="2:20" x14ac:dyDescent="0.25">
      <c r="B51" s="110" t="s">
        <v>238</v>
      </c>
      <c r="C51" s="110">
        <v>28</v>
      </c>
      <c r="D51" s="110" t="s">
        <v>83</v>
      </c>
      <c r="E51" s="110">
        <v>250</v>
      </c>
      <c r="F51" s="110" t="s">
        <v>80</v>
      </c>
      <c r="G51" s="110">
        <v>0.638</v>
      </c>
      <c r="H51" s="110">
        <v>3.3</v>
      </c>
      <c r="J51" s="110" t="s">
        <v>215</v>
      </c>
      <c r="M51" s="110" t="s">
        <v>239</v>
      </c>
      <c r="N51" s="110">
        <v>145</v>
      </c>
      <c r="O51" s="110">
        <f>52*25</f>
        <v>1300</v>
      </c>
      <c r="P51" s="110">
        <v>41.79</v>
      </c>
      <c r="Q51" s="110" t="s">
        <v>141</v>
      </c>
      <c r="R51" s="110">
        <v>75.7</v>
      </c>
      <c r="S51" s="110">
        <v>125</v>
      </c>
      <c r="T51" s="118" t="s">
        <v>232</v>
      </c>
    </row>
    <row r="52" spans="2:20" x14ac:dyDescent="0.25">
      <c r="B52" s="113" t="s">
        <v>240</v>
      </c>
      <c r="C52" s="110"/>
      <c r="D52" s="110"/>
      <c r="E52" s="110"/>
      <c r="F52" s="110"/>
      <c r="G52" s="110"/>
      <c r="H52" s="110"/>
      <c r="J52" s="110"/>
      <c r="M52" s="110" t="s">
        <v>241</v>
      </c>
      <c r="N52" s="110">
        <v>150</v>
      </c>
      <c r="O52" s="110">
        <f>54*25</f>
        <v>1350</v>
      </c>
      <c r="P52" s="110">
        <v>44.46</v>
      </c>
      <c r="Q52" s="110" t="s">
        <v>141</v>
      </c>
      <c r="R52" s="110">
        <v>80.7</v>
      </c>
      <c r="S52" s="110">
        <v>125</v>
      </c>
      <c r="T52" s="118" t="s">
        <v>232</v>
      </c>
    </row>
    <row r="53" spans="2:20" x14ac:dyDescent="0.25">
      <c r="B53" s="110" t="s">
        <v>242</v>
      </c>
      <c r="C53" s="110">
        <v>9</v>
      </c>
      <c r="D53" s="110" t="s">
        <v>83</v>
      </c>
      <c r="E53" s="110">
        <v>80</v>
      </c>
      <c r="F53" s="110" t="s">
        <v>80</v>
      </c>
      <c r="G53" s="110">
        <v>0.08</v>
      </c>
      <c r="H53" s="110">
        <v>1.1</v>
      </c>
      <c r="J53" s="110" t="s">
        <v>191</v>
      </c>
      <c r="M53" s="110" t="s">
        <v>243</v>
      </c>
      <c r="N53" s="110">
        <v>154</v>
      </c>
      <c r="O53" s="110">
        <f>56*25</f>
        <v>1400</v>
      </c>
      <c r="P53" s="110">
        <v>45.88</v>
      </c>
      <c r="Q53" s="110" t="s">
        <v>141</v>
      </c>
      <c r="R53" s="110">
        <v>82.6</v>
      </c>
      <c r="S53" s="110">
        <v>125</v>
      </c>
      <c r="T53" s="118" t="s">
        <v>232</v>
      </c>
    </row>
    <row r="54" spans="2:20" x14ac:dyDescent="0.25">
      <c r="B54" s="110" t="s">
        <v>244</v>
      </c>
      <c r="C54" s="110">
        <v>16</v>
      </c>
      <c r="D54" s="110" t="s">
        <v>83</v>
      </c>
      <c r="E54" s="110">
        <v>140</v>
      </c>
      <c r="F54" s="110" t="s">
        <v>80</v>
      </c>
      <c r="G54" s="110">
        <v>0.1</v>
      </c>
      <c r="H54" s="110">
        <v>1.4</v>
      </c>
      <c r="J54" s="110" t="s">
        <v>196</v>
      </c>
      <c r="M54" s="110" t="s">
        <v>245</v>
      </c>
      <c r="N54" s="110">
        <v>158</v>
      </c>
      <c r="O54" s="110">
        <f>58*25</f>
        <v>1450</v>
      </c>
      <c r="P54" s="110">
        <v>47.3</v>
      </c>
      <c r="Q54" s="110" t="s">
        <v>141</v>
      </c>
      <c r="R54" s="110">
        <v>84.5</v>
      </c>
      <c r="S54" s="110">
        <v>125</v>
      </c>
      <c r="T54" s="118" t="s">
        <v>232</v>
      </c>
    </row>
    <row r="55" spans="2:20" x14ac:dyDescent="0.25">
      <c r="B55" s="110" t="s">
        <v>246</v>
      </c>
      <c r="C55" s="110">
        <v>22.4</v>
      </c>
      <c r="D55" s="110" t="s">
        <v>83</v>
      </c>
      <c r="E55" s="110">
        <v>200</v>
      </c>
      <c r="F55" s="110" t="s">
        <v>80</v>
      </c>
      <c r="G55" s="110">
        <v>0.115</v>
      </c>
      <c r="H55" s="110">
        <v>2.2</v>
      </c>
      <c r="J55" s="110" t="s">
        <v>205</v>
      </c>
      <c r="M55" s="110" t="s">
        <v>247</v>
      </c>
      <c r="N55" s="110">
        <v>162</v>
      </c>
      <c r="O55" s="110">
        <f>60*25</f>
        <v>1500</v>
      </c>
      <c r="P55" s="110">
        <v>48.72</v>
      </c>
      <c r="Q55" s="110" t="s">
        <v>141</v>
      </c>
      <c r="R55" s="110">
        <v>86.4</v>
      </c>
      <c r="S55" s="110">
        <v>150</v>
      </c>
      <c r="T55" s="118" t="s">
        <v>232</v>
      </c>
    </row>
    <row r="56" spans="2:10" x14ac:dyDescent="0.25">
      <c r="B56" s="110" t="s">
        <v>248</v>
      </c>
      <c r="C56" s="110">
        <v>28</v>
      </c>
      <c r="D56" s="110" t="s">
        <v>83</v>
      </c>
      <c r="E56" s="110">
        <v>250</v>
      </c>
      <c r="F56" s="110" t="s">
        <v>80</v>
      </c>
      <c r="G56" s="110">
        <v>0.18</v>
      </c>
      <c r="H56" s="110">
        <v>2.7</v>
      </c>
      <c r="J56" s="110" t="s">
        <v>205</v>
      </c>
    </row>
    <row r="57" spans="4:18" x14ac:dyDescent="0.25">
      <c r="D57" s="103"/>
      <c r="M57" s="113" t="s">
        <v>249</v>
      </c>
      <c r="N57" s="110"/>
      <c r="O57" s="110"/>
      <c r="P57" s="110"/>
      <c r="Q57" s="110"/>
      <c r="R57" s="110"/>
    </row>
    <row r="58" spans="2:20" x14ac:dyDescent="0.25">
      <c r="B58" s="113" t="s">
        <v>250</v>
      </c>
      <c r="C58" s="110"/>
      <c r="D58" s="110"/>
      <c r="E58" s="110"/>
      <c r="F58" s="110"/>
      <c r="G58" s="110"/>
      <c r="H58" s="110"/>
      <c r="J58" s="110"/>
      <c r="M58" s="110" t="s">
        <v>251</v>
      </c>
      <c r="N58" s="110">
        <v>44.8</v>
      </c>
      <c r="O58" s="110">
        <v>400</v>
      </c>
      <c r="P58" s="110">
        <v>10.64</v>
      </c>
      <c r="Q58" s="110" t="s">
        <v>141</v>
      </c>
      <c r="R58" s="110">
        <v>20.6</v>
      </c>
      <c r="S58" s="110">
        <v>40</v>
      </c>
      <c r="T58" s="118" t="s">
        <v>193</v>
      </c>
    </row>
    <row r="59" spans="2:20" x14ac:dyDescent="0.25">
      <c r="B59" s="110" t="s">
        <v>252</v>
      </c>
      <c r="C59" s="110">
        <v>2.8</v>
      </c>
      <c r="D59" s="110" t="s">
        <v>253</v>
      </c>
      <c r="E59" s="110">
        <v>25</v>
      </c>
      <c r="F59" s="110" t="s">
        <v>80</v>
      </c>
      <c r="G59" s="110">
        <v>0.132</v>
      </c>
      <c r="H59" s="110">
        <v>0.8</v>
      </c>
      <c r="J59" s="110" t="s">
        <v>254</v>
      </c>
      <c r="M59" s="110" t="s">
        <v>255</v>
      </c>
      <c r="N59" s="110">
        <v>50.4</v>
      </c>
      <c r="O59" s="110">
        <v>450</v>
      </c>
      <c r="P59" s="110">
        <v>12.58</v>
      </c>
      <c r="Q59" s="110" t="s">
        <v>141</v>
      </c>
      <c r="R59" s="110">
        <v>23.9</v>
      </c>
      <c r="S59" s="110">
        <v>45</v>
      </c>
      <c r="T59" s="118" t="s">
        <v>193</v>
      </c>
    </row>
    <row r="60" spans="13:20" x14ac:dyDescent="0.25">
      <c r="M60" s="110" t="s">
        <v>256</v>
      </c>
      <c r="N60" s="110">
        <v>56</v>
      </c>
      <c r="O60" s="110">
        <v>500</v>
      </c>
      <c r="P60" s="110">
        <v>14.52</v>
      </c>
      <c r="Q60" s="110" t="s">
        <v>141</v>
      </c>
      <c r="R60" s="110">
        <v>27.2</v>
      </c>
      <c r="S60" s="110">
        <v>50</v>
      </c>
      <c r="T60" s="118" t="s">
        <v>193</v>
      </c>
    </row>
    <row r="61" spans="2:20" x14ac:dyDescent="0.25">
      <c r="B61" s="113" t="s">
        <v>257</v>
      </c>
      <c r="C61" s="110"/>
      <c r="D61" s="110"/>
      <c r="E61" s="110"/>
      <c r="F61" s="110"/>
      <c r="G61" s="110"/>
      <c r="H61" s="110"/>
      <c r="J61" s="110"/>
      <c r="M61" s="110" t="s">
        <v>258</v>
      </c>
      <c r="N61" s="110">
        <v>67.2</v>
      </c>
      <c r="O61" s="110">
        <v>600</v>
      </c>
      <c r="P61" s="110">
        <v>15.96</v>
      </c>
      <c r="Q61" s="110" t="s">
        <v>141</v>
      </c>
      <c r="R61" s="110">
        <v>30.9</v>
      </c>
      <c r="S61" s="110">
        <v>60</v>
      </c>
      <c r="T61" s="103" t="s">
        <v>259</v>
      </c>
    </row>
    <row r="62" spans="2:20" x14ac:dyDescent="0.25">
      <c r="B62" s="110" t="s">
        <v>260</v>
      </c>
      <c r="C62" s="110">
        <v>2.8</v>
      </c>
      <c r="D62" s="110" t="s">
        <v>261</v>
      </c>
      <c r="E62" s="110">
        <v>25</v>
      </c>
      <c r="F62" s="110" t="s">
        <v>80</v>
      </c>
      <c r="G62" s="110">
        <v>0.029</v>
      </c>
      <c r="H62" s="110">
        <v>0.2</v>
      </c>
      <c r="J62" s="110" t="s">
        <v>262</v>
      </c>
      <c r="M62" s="110" t="s">
        <v>263</v>
      </c>
      <c r="N62" s="110">
        <v>72.8</v>
      </c>
      <c r="O62" s="110">
        <v>650</v>
      </c>
      <c r="P62" s="110">
        <v>17.9</v>
      </c>
      <c r="Q62" s="110" t="s">
        <v>141</v>
      </c>
      <c r="R62" s="110">
        <v>34.2</v>
      </c>
      <c r="S62" s="110">
        <v>65</v>
      </c>
      <c r="T62" s="103" t="s">
        <v>259</v>
      </c>
    </row>
    <row r="63" spans="2:20" x14ac:dyDescent="0.25">
      <c r="B63" s="110" t="s">
        <v>264</v>
      </c>
      <c r="C63" s="110">
        <v>3.6</v>
      </c>
      <c r="D63" s="110" t="s">
        <v>261</v>
      </c>
      <c r="E63" s="110">
        <v>31.25</v>
      </c>
      <c r="F63" s="110" t="s">
        <v>80</v>
      </c>
      <c r="G63" s="110">
        <v>0.029</v>
      </c>
      <c r="H63" s="110">
        <v>0.2</v>
      </c>
      <c r="J63" s="110" t="s">
        <v>262</v>
      </c>
      <c r="M63" s="110" t="s">
        <v>265</v>
      </c>
      <c r="N63" s="110">
        <v>78.3</v>
      </c>
      <c r="O63" s="110">
        <v>700</v>
      </c>
      <c r="P63" s="110">
        <v>19.9</v>
      </c>
      <c r="Q63" s="110" t="s">
        <v>141</v>
      </c>
      <c r="R63" s="110">
        <v>37.6</v>
      </c>
      <c r="S63" s="110">
        <v>65</v>
      </c>
      <c r="T63" s="103" t="s">
        <v>259</v>
      </c>
    </row>
    <row r="64" spans="2:20" x14ac:dyDescent="0.25">
      <c r="B64" s="110" t="s">
        <v>266</v>
      </c>
      <c r="C64" s="110">
        <v>4.5</v>
      </c>
      <c r="D64" s="110" t="s">
        <v>261</v>
      </c>
      <c r="E64" s="110">
        <v>40</v>
      </c>
      <c r="F64" s="110" t="s">
        <v>80</v>
      </c>
      <c r="G64" s="110">
        <v>0.036</v>
      </c>
      <c r="H64" s="110">
        <v>0.3</v>
      </c>
      <c r="J64" s="110" t="s">
        <v>262</v>
      </c>
      <c r="M64" s="110" t="s">
        <v>267</v>
      </c>
      <c r="N64" s="110">
        <v>83.9</v>
      </c>
      <c r="O64" s="110">
        <v>750</v>
      </c>
      <c r="P64" s="110">
        <v>21.84</v>
      </c>
      <c r="Q64" s="110" t="s">
        <v>141</v>
      </c>
      <c r="R64" s="110">
        <v>40.9</v>
      </c>
      <c r="S64" s="110">
        <v>70</v>
      </c>
      <c r="T64" s="103" t="s">
        <v>259</v>
      </c>
    </row>
    <row r="65" spans="2:20" x14ac:dyDescent="0.25">
      <c r="B65" s="110" t="s">
        <v>268</v>
      </c>
      <c r="C65" s="110">
        <v>5.6</v>
      </c>
      <c r="D65" s="110" t="s">
        <v>261</v>
      </c>
      <c r="E65" s="110">
        <v>50</v>
      </c>
      <c r="F65" s="110" t="s">
        <v>80</v>
      </c>
      <c r="G65" s="110">
        <v>0.04</v>
      </c>
      <c r="H65" s="110">
        <v>0.3</v>
      </c>
      <c r="J65" s="110" t="s">
        <v>262</v>
      </c>
      <c r="M65" s="110" t="s">
        <v>269</v>
      </c>
      <c r="N65" s="110">
        <v>89.8</v>
      </c>
      <c r="O65" s="110">
        <v>800</v>
      </c>
      <c r="P65" s="110">
        <v>22.79</v>
      </c>
      <c r="Q65" s="110" t="s">
        <v>141</v>
      </c>
      <c r="R65" s="110">
        <v>42.5</v>
      </c>
      <c r="S65" s="110">
        <v>80</v>
      </c>
      <c r="T65" s="103" t="s">
        <v>227</v>
      </c>
    </row>
    <row r="66" spans="2:20" x14ac:dyDescent="0.25">
      <c r="B66" s="110" t="s">
        <v>270</v>
      </c>
      <c r="C66" s="110">
        <v>7.1</v>
      </c>
      <c r="D66" s="110" t="s">
        <v>261</v>
      </c>
      <c r="E66" s="110">
        <v>62.5</v>
      </c>
      <c r="F66" s="110" t="s">
        <v>80</v>
      </c>
      <c r="G66" s="110">
        <v>0.063</v>
      </c>
      <c r="H66" s="110">
        <v>0.5</v>
      </c>
      <c r="J66" s="110" t="s">
        <v>262</v>
      </c>
      <c r="M66" s="110" t="s">
        <v>271</v>
      </c>
      <c r="N66" s="110">
        <v>95.4</v>
      </c>
      <c r="O66" s="110">
        <v>850</v>
      </c>
      <c r="P66" s="110">
        <v>24.73</v>
      </c>
      <c r="Q66" s="110" t="s">
        <v>141</v>
      </c>
      <c r="R66" s="110">
        <v>45.8</v>
      </c>
      <c r="S66" s="110">
        <v>85</v>
      </c>
      <c r="T66" s="103" t="s">
        <v>227</v>
      </c>
    </row>
    <row r="67" spans="2:20" x14ac:dyDescent="0.25">
      <c r="B67" s="110" t="s">
        <v>272</v>
      </c>
      <c r="C67" s="110">
        <v>9</v>
      </c>
      <c r="D67" s="110" t="s">
        <v>261</v>
      </c>
      <c r="E67" s="110">
        <v>80</v>
      </c>
      <c r="F67" s="110" t="s">
        <v>80</v>
      </c>
      <c r="G67" s="110">
        <v>0.096</v>
      </c>
      <c r="H67" s="110">
        <v>0.8</v>
      </c>
      <c r="J67" s="110" t="s">
        <v>262</v>
      </c>
      <c r="M67" s="110" t="s">
        <v>273</v>
      </c>
      <c r="N67" s="110">
        <v>101</v>
      </c>
      <c r="O67" s="110">
        <v>900</v>
      </c>
      <c r="P67" s="110">
        <v>26.67</v>
      </c>
      <c r="Q67" s="110" t="s">
        <v>141</v>
      </c>
      <c r="R67" s="110">
        <v>49.1</v>
      </c>
      <c r="S67" s="110">
        <v>90</v>
      </c>
      <c r="T67" s="103" t="s">
        <v>227</v>
      </c>
    </row>
    <row r="68" spans="2:20" x14ac:dyDescent="0.25">
      <c r="B68" s="110" t="s">
        <v>274</v>
      </c>
      <c r="C68" s="110">
        <v>11.2</v>
      </c>
      <c r="D68" s="110" t="s">
        <v>261</v>
      </c>
      <c r="E68" s="110">
        <v>100</v>
      </c>
      <c r="F68" s="110" t="s">
        <v>80</v>
      </c>
      <c r="G68" s="110">
        <v>0.158</v>
      </c>
      <c r="H68" s="110">
        <v>1.1</v>
      </c>
      <c r="J68" s="110" t="s">
        <v>275</v>
      </c>
      <c r="M68" s="110" t="s">
        <v>276</v>
      </c>
      <c r="N68" s="110">
        <v>106.5</v>
      </c>
      <c r="O68" s="110">
        <v>950</v>
      </c>
      <c r="P68" s="110">
        <v>28.67</v>
      </c>
      <c r="Q68" s="110" t="s">
        <v>141</v>
      </c>
      <c r="R68" s="110">
        <v>52.5</v>
      </c>
      <c r="S68" s="110">
        <v>90</v>
      </c>
      <c r="T68" s="103" t="s">
        <v>227</v>
      </c>
    </row>
    <row r="69" spans="2:20" x14ac:dyDescent="0.25">
      <c r="B69" s="110" t="s">
        <v>277</v>
      </c>
      <c r="C69" s="110">
        <v>14</v>
      </c>
      <c r="D69" s="110" t="s">
        <v>261</v>
      </c>
      <c r="E69" s="110">
        <v>125</v>
      </c>
      <c r="F69" s="110" t="s">
        <v>80</v>
      </c>
      <c r="G69" s="110">
        <v>0.178</v>
      </c>
      <c r="H69" s="110">
        <v>1.3</v>
      </c>
      <c r="J69" s="110" t="s">
        <v>275</v>
      </c>
      <c r="M69" s="110" t="s">
        <v>278</v>
      </c>
      <c r="N69" s="110">
        <v>112.4</v>
      </c>
      <c r="O69" s="110">
        <v>1000</v>
      </c>
      <c r="P69" s="110">
        <v>29.62</v>
      </c>
      <c r="Q69" s="110" t="s">
        <v>141</v>
      </c>
      <c r="R69" s="110">
        <v>54.1</v>
      </c>
      <c r="S69" s="110">
        <v>100</v>
      </c>
      <c r="T69" s="103" t="s">
        <v>279</v>
      </c>
    </row>
    <row r="70" spans="2:20" x14ac:dyDescent="0.25">
      <c r="B70" s="110" t="s">
        <v>280</v>
      </c>
      <c r="C70" s="110">
        <v>16</v>
      </c>
      <c r="D70" s="110" t="s">
        <v>261</v>
      </c>
      <c r="E70" s="110">
        <v>140</v>
      </c>
      <c r="F70" s="110" t="s">
        <v>80</v>
      </c>
      <c r="G70" s="110">
        <v>0.203</v>
      </c>
      <c r="H70" s="110">
        <v>1.4</v>
      </c>
      <c r="J70" s="110" t="s">
        <v>275</v>
      </c>
      <c r="M70" s="110" t="s">
        <v>281</v>
      </c>
      <c r="N70" s="110">
        <v>118</v>
      </c>
      <c r="O70" s="110">
        <v>1050</v>
      </c>
      <c r="P70" s="110">
        <v>31.56</v>
      </c>
      <c r="Q70" s="110" t="s">
        <v>141</v>
      </c>
      <c r="R70" s="110">
        <v>57.4</v>
      </c>
      <c r="S70" s="110">
        <v>105</v>
      </c>
      <c r="T70" s="103" t="s">
        <v>279</v>
      </c>
    </row>
    <row r="71" spans="13:20" x14ac:dyDescent="0.25">
      <c r="M71" s="110" t="s">
        <v>282</v>
      </c>
      <c r="N71" s="110">
        <v>123.5</v>
      </c>
      <c r="O71" s="110">
        <v>1100</v>
      </c>
      <c r="P71" s="110">
        <v>33.56</v>
      </c>
      <c r="Q71" s="110" t="s">
        <v>141</v>
      </c>
      <c r="R71" s="110">
        <v>60.8</v>
      </c>
      <c r="S71" s="110">
        <v>105</v>
      </c>
      <c r="T71" s="103" t="s">
        <v>279</v>
      </c>
    </row>
    <row r="72" spans="2:20" x14ac:dyDescent="0.25">
      <c r="B72" s="113" t="s">
        <v>283</v>
      </c>
      <c r="C72" s="110"/>
      <c r="D72" s="110"/>
      <c r="E72" s="110"/>
      <c r="F72" s="110"/>
      <c r="G72" s="110"/>
      <c r="H72" s="110"/>
      <c r="J72" s="110"/>
      <c r="M72" s="110" t="s">
        <v>284</v>
      </c>
      <c r="N72" s="110">
        <v>130</v>
      </c>
      <c r="O72" s="110">
        <v>1150</v>
      </c>
      <c r="P72" s="110">
        <v>35.65</v>
      </c>
      <c r="Q72" s="110" t="s">
        <v>141</v>
      </c>
      <c r="R72" s="110">
        <v>64.7</v>
      </c>
      <c r="S72" s="110">
        <v>115</v>
      </c>
      <c r="T72" s="103" t="s">
        <v>232</v>
      </c>
    </row>
    <row r="73" spans="2:20" x14ac:dyDescent="0.25">
      <c r="B73" s="110" t="s">
        <v>285</v>
      </c>
      <c r="C73" s="110">
        <v>2.8</v>
      </c>
      <c r="D73" s="110" t="s">
        <v>261</v>
      </c>
      <c r="E73" s="110">
        <v>25</v>
      </c>
      <c r="F73" s="110" t="s">
        <v>80</v>
      </c>
      <c r="G73" s="110">
        <v>0.028</v>
      </c>
      <c r="H73" s="110">
        <v>0.2</v>
      </c>
      <c r="J73" s="110" t="s">
        <v>262</v>
      </c>
      <c r="M73" s="110" t="s">
        <v>286</v>
      </c>
      <c r="N73" s="110">
        <v>135</v>
      </c>
      <c r="O73" s="110">
        <v>1200</v>
      </c>
      <c r="P73" s="110">
        <v>36.45</v>
      </c>
      <c r="Q73" s="110" t="s">
        <v>141</v>
      </c>
      <c r="R73" s="110">
        <v>65.7</v>
      </c>
      <c r="S73" s="110">
        <v>120</v>
      </c>
      <c r="T73" s="103" t="s">
        <v>232</v>
      </c>
    </row>
    <row r="74" spans="2:10" x14ac:dyDescent="0.25">
      <c r="B74" s="110" t="s">
        <v>287</v>
      </c>
      <c r="C74" s="110">
        <v>3.6</v>
      </c>
      <c r="D74" s="110" t="s">
        <v>261</v>
      </c>
      <c r="E74" s="110">
        <v>31.25</v>
      </c>
      <c r="F74" s="110" t="s">
        <v>80</v>
      </c>
      <c r="G74" s="110">
        <v>0.028</v>
      </c>
      <c r="H74" s="110">
        <v>0.2</v>
      </c>
      <c r="J74" s="110" t="s">
        <v>262</v>
      </c>
    </row>
    <row r="75" spans="2:18" x14ac:dyDescent="0.25">
      <c r="B75" s="110" t="s">
        <v>288</v>
      </c>
      <c r="C75" s="110">
        <v>4.5</v>
      </c>
      <c r="D75" s="110" t="s">
        <v>261</v>
      </c>
      <c r="E75" s="110">
        <v>40</v>
      </c>
      <c r="F75" s="110" t="s">
        <v>80</v>
      </c>
      <c r="G75" s="110">
        <v>0.035</v>
      </c>
      <c r="H75" s="110">
        <v>0.3</v>
      </c>
      <c r="J75" s="110" t="s">
        <v>262</v>
      </c>
      <c r="M75" s="113" t="s">
        <v>289</v>
      </c>
      <c r="N75" s="110"/>
      <c r="O75" s="110"/>
      <c r="P75" s="110"/>
      <c r="Q75" s="110"/>
      <c r="R75" s="110"/>
    </row>
    <row r="76" spans="2:20" x14ac:dyDescent="0.25">
      <c r="B76" s="110" t="s">
        <v>290</v>
      </c>
      <c r="C76" s="110">
        <v>5.6</v>
      </c>
      <c r="D76" s="110" t="s">
        <v>261</v>
      </c>
      <c r="E76" s="110">
        <v>50</v>
      </c>
      <c r="F76" s="110" t="s">
        <v>80</v>
      </c>
      <c r="G76" s="110">
        <v>0.056</v>
      </c>
      <c r="H76" s="110">
        <v>0.5</v>
      </c>
      <c r="J76" s="110" t="s">
        <v>262</v>
      </c>
      <c r="M76" s="110" t="s">
        <v>291</v>
      </c>
      <c r="N76" s="110">
        <v>22.4</v>
      </c>
      <c r="O76" s="110">
        <v>200</v>
      </c>
      <c r="P76" s="110">
        <v>5.65</v>
      </c>
      <c r="Q76" s="110" t="s">
        <v>141</v>
      </c>
      <c r="R76" s="110">
        <v>10.6</v>
      </c>
      <c r="S76" s="110">
        <v>20</v>
      </c>
      <c r="T76" s="118" t="s">
        <v>168</v>
      </c>
    </row>
    <row r="77" spans="2:20" x14ac:dyDescent="0.25">
      <c r="B77" s="110" t="s">
        <v>292</v>
      </c>
      <c r="C77" s="110">
        <v>7.1</v>
      </c>
      <c r="D77" s="110" t="s">
        <v>261</v>
      </c>
      <c r="E77" s="110">
        <v>62.5</v>
      </c>
      <c r="F77" s="110" t="s">
        <v>80</v>
      </c>
      <c r="G77" s="110">
        <v>0.061</v>
      </c>
      <c r="H77" s="110">
        <v>0.5</v>
      </c>
      <c r="J77" s="110" t="s">
        <v>262</v>
      </c>
      <c r="M77" s="110" t="s">
        <v>293</v>
      </c>
      <c r="N77" s="110">
        <v>28</v>
      </c>
      <c r="O77" s="110">
        <v>250</v>
      </c>
      <c r="P77" s="110">
        <v>7.09</v>
      </c>
      <c r="Q77" s="110" t="s">
        <v>141</v>
      </c>
      <c r="R77" s="110">
        <v>13.2</v>
      </c>
      <c r="S77" s="110">
        <v>25</v>
      </c>
      <c r="T77" s="118" t="s">
        <v>168</v>
      </c>
    </row>
    <row r="78" spans="2:20" x14ac:dyDescent="0.25">
      <c r="B78" s="110" t="s">
        <v>294</v>
      </c>
      <c r="C78" s="110">
        <v>9</v>
      </c>
      <c r="D78" s="110" t="s">
        <v>261</v>
      </c>
      <c r="E78" s="110">
        <v>80</v>
      </c>
      <c r="F78" s="110" t="s">
        <v>80</v>
      </c>
      <c r="G78" s="110">
        <v>0.164</v>
      </c>
      <c r="H78" s="110">
        <v>1.1</v>
      </c>
      <c r="J78" s="110" t="s">
        <v>275</v>
      </c>
      <c r="M78" s="110" t="s">
        <v>295</v>
      </c>
      <c r="N78" s="110">
        <v>33.5</v>
      </c>
      <c r="O78" s="110">
        <v>300</v>
      </c>
      <c r="P78" s="110">
        <v>9.97</v>
      </c>
      <c r="Q78" s="110" t="s">
        <v>141</v>
      </c>
      <c r="R78" s="110">
        <v>18.2</v>
      </c>
      <c r="S78" s="110">
        <v>30</v>
      </c>
      <c r="T78" s="118" t="s">
        <v>168</v>
      </c>
    </row>
    <row r="79" spans="2:20" x14ac:dyDescent="0.25">
      <c r="B79" s="110" t="s">
        <v>296</v>
      </c>
      <c r="C79" s="110">
        <v>11.2</v>
      </c>
      <c r="D79" s="110" t="s">
        <v>261</v>
      </c>
      <c r="E79" s="110">
        <v>100</v>
      </c>
      <c r="F79" s="110" t="s">
        <v>80</v>
      </c>
      <c r="G79" s="110">
        <v>0.164</v>
      </c>
      <c r="H79" s="110">
        <v>1.1</v>
      </c>
      <c r="J79" s="110" t="s">
        <v>275</v>
      </c>
      <c r="M79" s="110" t="s">
        <v>297</v>
      </c>
      <c r="N79" s="110">
        <v>40</v>
      </c>
      <c r="O79" s="110">
        <v>350</v>
      </c>
      <c r="P79" s="110">
        <v>12.08</v>
      </c>
      <c r="Q79" s="110" t="s">
        <v>141</v>
      </c>
      <c r="R79" s="110">
        <v>22</v>
      </c>
      <c r="S79" s="110">
        <v>35</v>
      </c>
      <c r="T79" s="118" t="s">
        <v>180</v>
      </c>
    </row>
    <row r="80" spans="2:20" x14ac:dyDescent="0.25">
      <c r="B80" s="110" t="s">
        <v>298</v>
      </c>
      <c r="C80" s="110">
        <v>14</v>
      </c>
      <c r="D80" s="110" t="s">
        <v>261</v>
      </c>
      <c r="E80" s="110">
        <v>125</v>
      </c>
      <c r="F80" s="110" t="s">
        <v>80</v>
      </c>
      <c r="G80" s="110">
        <v>0.17</v>
      </c>
      <c r="H80" s="110">
        <v>1.3</v>
      </c>
      <c r="J80" s="110" t="s">
        <v>275</v>
      </c>
      <c r="M80" s="110" t="s">
        <v>299</v>
      </c>
      <c r="N80" s="110">
        <v>45</v>
      </c>
      <c r="O80" s="110">
        <v>400</v>
      </c>
      <c r="P80" s="110">
        <v>13.92</v>
      </c>
      <c r="Q80" s="110" t="s">
        <v>141</v>
      </c>
      <c r="R80" s="110">
        <v>25.1</v>
      </c>
      <c r="S80" s="110">
        <v>40</v>
      </c>
      <c r="T80" s="118" t="s">
        <v>180</v>
      </c>
    </row>
    <row r="81" spans="2:20" x14ac:dyDescent="0.25">
      <c r="B81" s="110" t="s">
        <v>300</v>
      </c>
      <c r="C81" s="110">
        <v>16</v>
      </c>
      <c r="D81" s="110" t="s">
        <v>261</v>
      </c>
      <c r="E81" s="110">
        <v>140</v>
      </c>
      <c r="F81" s="110" t="s">
        <v>80</v>
      </c>
      <c r="G81" s="110">
        <v>0.194</v>
      </c>
      <c r="H81" s="110">
        <v>1.4</v>
      </c>
      <c r="J81" s="110" t="s">
        <v>275</v>
      </c>
      <c r="M81" s="110" t="s">
        <v>301</v>
      </c>
      <c r="N81" s="110">
        <v>50</v>
      </c>
      <c r="O81" s="110">
        <v>450</v>
      </c>
      <c r="P81" s="110">
        <v>15.07</v>
      </c>
      <c r="Q81" s="110" t="s">
        <v>141</v>
      </c>
      <c r="R81" s="110">
        <v>27.3</v>
      </c>
      <c r="S81" s="110">
        <v>40</v>
      </c>
      <c r="T81" s="118" t="s">
        <v>180</v>
      </c>
    </row>
    <row r="82" spans="13:20" x14ac:dyDescent="0.25">
      <c r="M82" s="110" t="s">
        <v>302</v>
      </c>
      <c r="N82" s="110">
        <v>54</v>
      </c>
      <c r="O82" s="110">
        <v>500</v>
      </c>
      <c r="P82" s="110">
        <v>16.5</v>
      </c>
      <c r="Q82" s="110" t="s">
        <v>141</v>
      </c>
      <c r="R82" s="110">
        <v>29.7</v>
      </c>
      <c r="S82" s="110">
        <v>45</v>
      </c>
      <c r="T82" s="118" t="s">
        <v>180</v>
      </c>
    </row>
    <row r="83" spans="2:20" x14ac:dyDescent="0.25">
      <c r="B83" s="110" t="s">
        <v>303</v>
      </c>
      <c r="C83" s="110"/>
      <c r="D83" s="110"/>
      <c r="E83" s="110"/>
      <c r="F83" s="110"/>
      <c r="G83" s="110"/>
      <c r="H83" s="110"/>
      <c r="J83" s="110"/>
      <c r="M83" s="110" t="s">
        <v>304</v>
      </c>
      <c r="N83" s="110">
        <v>61.5</v>
      </c>
      <c r="O83" s="110">
        <v>550</v>
      </c>
      <c r="P83" s="110">
        <v>17.06</v>
      </c>
      <c r="Q83" s="110" t="s">
        <v>141</v>
      </c>
      <c r="R83" s="110">
        <v>31.4</v>
      </c>
      <c r="S83" s="110">
        <v>50</v>
      </c>
      <c r="T83" s="110" t="s">
        <v>193</v>
      </c>
    </row>
    <row r="84" spans="2:20" x14ac:dyDescent="0.25">
      <c r="B84" s="110" t="s">
        <v>305</v>
      </c>
      <c r="C84" s="110">
        <v>2.2</v>
      </c>
      <c r="D84" s="110" t="s">
        <v>303</v>
      </c>
      <c r="E84" s="110">
        <v>20</v>
      </c>
      <c r="F84" s="110" t="s">
        <v>80</v>
      </c>
      <c r="G84" s="110">
        <v>0.04</v>
      </c>
      <c r="H84" s="110">
        <v>0.4</v>
      </c>
      <c r="J84" s="110" t="s">
        <v>306</v>
      </c>
      <c r="M84" s="110" t="s">
        <v>307</v>
      </c>
      <c r="N84" s="110">
        <v>67</v>
      </c>
      <c r="O84" s="110">
        <v>600</v>
      </c>
      <c r="P84" s="110">
        <v>19.94</v>
      </c>
      <c r="Q84" s="110" t="s">
        <v>141</v>
      </c>
      <c r="R84" s="110">
        <v>36.4</v>
      </c>
      <c r="S84" s="110">
        <v>60</v>
      </c>
      <c r="T84" s="110" t="s">
        <v>193</v>
      </c>
    </row>
    <row r="85" spans="2:20" x14ac:dyDescent="0.25">
      <c r="B85" s="110" t="s">
        <v>308</v>
      </c>
      <c r="C85" s="110">
        <v>2.8</v>
      </c>
      <c r="D85" s="110" t="s">
        <v>303</v>
      </c>
      <c r="E85" s="110">
        <v>25</v>
      </c>
      <c r="F85" s="110" t="s">
        <v>80</v>
      </c>
      <c r="G85" s="110">
        <v>0.04</v>
      </c>
      <c r="H85" s="110">
        <v>0.4</v>
      </c>
      <c r="J85" s="110" t="s">
        <v>306</v>
      </c>
      <c r="M85" s="110" t="s">
        <v>309</v>
      </c>
      <c r="N85" s="110">
        <v>73.5</v>
      </c>
      <c r="O85" s="110">
        <v>650</v>
      </c>
      <c r="P85" s="110">
        <v>22.05</v>
      </c>
      <c r="Q85" s="110" t="s">
        <v>141</v>
      </c>
      <c r="R85" s="110">
        <v>40.2</v>
      </c>
      <c r="S85" s="110">
        <v>60</v>
      </c>
      <c r="T85" s="110" t="s">
        <v>201</v>
      </c>
    </row>
    <row r="86" spans="2:20" x14ac:dyDescent="0.25">
      <c r="B86" s="110" t="s">
        <v>310</v>
      </c>
      <c r="C86" s="110">
        <v>3.6</v>
      </c>
      <c r="D86" s="110" t="s">
        <v>303</v>
      </c>
      <c r="E86" s="110">
        <v>31.25</v>
      </c>
      <c r="F86" s="110" t="s">
        <v>80</v>
      </c>
      <c r="G86" s="110">
        <v>0.04</v>
      </c>
      <c r="H86" s="110">
        <v>0.4</v>
      </c>
      <c r="J86" s="110" t="s">
        <v>306</v>
      </c>
      <c r="M86" s="110" t="s">
        <v>311</v>
      </c>
      <c r="N86" s="110">
        <v>78.5</v>
      </c>
      <c r="O86" s="110">
        <v>700</v>
      </c>
      <c r="P86" s="110">
        <v>23.89</v>
      </c>
      <c r="Q86" s="110" t="s">
        <v>141</v>
      </c>
      <c r="R86" s="110">
        <v>43.3</v>
      </c>
      <c r="S86" s="110">
        <v>70</v>
      </c>
      <c r="T86" s="110" t="s">
        <v>201</v>
      </c>
    </row>
    <row r="87" spans="2:20" x14ac:dyDescent="0.25">
      <c r="B87" s="110" t="s">
        <v>312</v>
      </c>
      <c r="C87" s="110">
        <v>4.5</v>
      </c>
      <c r="D87" s="110" t="s">
        <v>303</v>
      </c>
      <c r="E87" s="110">
        <v>40</v>
      </c>
      <c r="F87" s="110" t="s">
        <v>80</v>
      </c>
      <c r="G87" s="110">
        <v>0.05</v>
      </c>
      <c r="H87" s="110">
        <v>0.5</v>
      </c>
      <c r="J87" s="110" t="s">
        <v>313</v>
      </c>
      <c r="M87" s="110" t="s">
        <v>314</v>
      </c>
      <c r="N87" s="110">
        <v>85</v>
      </c>
      <c r="O87" s="110">
        <v>750</v>
      </c>
      <c r="P87" s="110">
        <v>26</v>
      </c>
      <c r="Q87" s="110" t="s">
        <v>141</v>
      </c>
      <c r="R87" s="110">
        <v>47.1</v>
      </c>
      <c r="S87" s="110">
        <v>80</v>
      </c>
      <c r="T87" s="110" t="s">
        <v>207</v>
      </c>
    </row>
    <row r="88" spans="2:20" x14ac:dyDescent="0.25">
      <c r="B88" s="110" t="s">
        <v>315</v>
      </c>
      <c r="C88" s="110">
        <v>5.6</v>
      </c>
      <c r="D88" s="110" t="s">
        <v>303</v>
      </c>
      <c r="E88" s="110">
        <v>50</v>
      </c>
      <c r="F88" s="110" t="s">
        <v>80</v>
      </c>
      <c r="G88" s="110">
        <v>0.06</v>
      </c>
      <c r="H88" s="110">
        <v>0.5</v>
      </c>
      <c r="J88" s="110" t="s">
        <v>313</v>
      </c>
      <c r="M88" s="110" t="s">
        <v>316</v>
      </c>
      <c r="N88" s="110">
        <v>90</v>
      </c>
      <c r="O88" s="110">
        <v>800</v>
      </c>
      <c r="P88" s="110">
        <v>27.15</v>
      </c>
      <c r="Q88" s="110" t="s">
        <v>141</v>
      </c>
      <c r="R88" s="110">
        <v>49.3</v>
      </c>
      <c r="S88" s="110">
        <v>80</v>
      </c>
      <c r="T88" s="110" t="s">
        <v>210</v>
      </c>
    </row>
    <row r="89" spans="2:20" x14ac:dyDescent="0.25">
      <c r="B89" s="110" t="s">
        <v>317</v>
      </c>
      <c r="C89" s="110">
        <v>7.1</v>
      </c>
      <c r="D89" s="110" t="s">
        <v>303</v>
      </c>
      <c r="E89" s="110">
        <v>62.5</v>
      </c>
      <c r="F89" s="110" t="s">
        <v>80</v>
      </c>
      <c r="G89" s="110">
        <v>0.1</v>
      </c>
      <c r="H89" s="110">
        <v>0.5</v>
      </c>
      <c r="J89" s="110" t="s">
        <v>313</v>
      </c>
      <c r="M89" s="110" t="s">
        <v>318</v>
      </c>
      <c r="N89" s="110">
        <v>95</v>
      </c>
      <c r="O89" s="110">
        <v>850</v>
      </c>
      <c r="P89" s="110">
        <v>28.99</v>
      </c>
      <c r="Q89" s="110" t="s">
        <v>141</v>
      </c>
      <c r="R89" s="110">
        <v>52.4</v>
      </c>
      <c r="S89" s="110">
        <v>80</v>
      </c>
      <c r="T89" s="110" t="s">
        <v>213</v>
      </c>
    </row>
    <row r="90" spans="13:20" x14ac:dyDescent="0.25">
      <c r="M90" s="110" t="s">
        <v>319</v>
      </c>
      <c r="N90" s="110">
        <v>100</v>
      </c>
      <c r="O90" s="110">
        <v>900</v>
      </c>
      <c r="P90" s="110">
        <v>30.14</v>
      </c>
      <c r="Q90" s="110" t="s">
        <v>141</v>
      </c>
      <c r="R90" s="110">
        <v>54.6</v>
      </c>
      <c r="S90" s="110">
        <v>80</v>
      </c>
      <c r="T90" s="110" t="s">
        <v>217</v>
      </c>
    </row>
    <row r="91" spans="2:20" x14ac:dyDescent="0.25">
      <c r="B91" s="110" t="s">
        <v>320</v>
      </c>
      <c r="C91" s="110"/>
      <c r="D91" s="110"/>
      <c r="E91" s="110"/>
      <c r="F91" s="110"/>
      <c r="G91" s="110"/>
      <c r="H91" s="110"/>
      <c r="J91" s="110"/>
      <c r="M91" s="110" t="s">
        <v>321</v>
      </c>
      <c r="N91" s="110">
        <v>104</v>
      </c>
      <c r="O91" s="110">
        <v>950</v>
      </c>
      <c r="P91" s="110">
        <v>31.57</v>
      </c>
      <c r="Q91" s="110" t="s">
        <v>141</v>
      </c>
      <c r="R91" s="110">
        <v>57</v>
      </c>
      <c r="S91" s="110">
        <v>90</v>
      </c>
      <c r="T91" s="110" t="s">
        <v>220</v>
      </c>
    </row>
    <row r="92" spans="2:20" x14ac:dyDescent="0.25">
      <c r="B92" s="110" t="s">
        <v>322</v>
      </c>
      <c r="C92" s="110">
        <v>3.6</v>
      </c>
      <c r="D92" s="110" t="s">
        <v>320</v>
      </c>
      <c r="E92" s="110">
        <v>31.25</v>
      </c>
      <c r="F92" s="110" t="s">
        <v>80</v>
      </c>
      <c r="G92" s="110">
        <v>0.142</v>
      </c>
      <c r="H92" s="110">
        <v>0.7</v>
      </c>
      <c r="J92" s="110" t="s">
        <v>323</v>
      </c>
      <c r="M92" s="110" t="s">
        <v>324</v>
      </c>
      <c r="N92" s="110">
        <v>108</v>
      </c>
      <c r="O92" s="110">
        <v>1000</v>
      </c>
      <c r="P92" s="110">
        <v>33</v>
      </c>
      <c r="Q92" s="110" t="s">
        <v>141</v>
      </c>
      <c r="R92" s="110">
        <v>59.4</v>
      </c>
      <c r="S92" s="110">
        <v>90</v>
      </c>
      <c r="T92" s="110" t="s">
        <v>224</v>
      </c>
    </row>
    <row r="93" spans="2:20" x14ac:dyDescent="0.25">
      <c r="B93" s="110" t="s">
        <v>325</v>
      </c>
      <c r="C93" s="110">
        <v>7.1</v>
      </c>
      <c r="D93" s="110" t="s">
        <v>320</v>
      </c>
      <c r="E93" s="110">
        <v>62.5</v>
      </c>
      <c r="F93" s="110" t="s">
        <v>80</v>
      </c>
      <c r="G93" s="110">
        <v>0.145</v>
      </c>
      <c r="H93" s="110">
        <v>0.7</v>
      </c>
      <c r="J93" s="110" t="s">
        <v>326</v>
      </c>
      <c r="M93" s="110" t="s">
        <v>327</v>
      </c>
      <c r="N93" s="110">
        <v>117</v>
      </c>
      <c r="O93" s="110">
        <v>1050</v>
      </c>
      <c r="P93" s="110">
        <v>35.01</v>
      </c>
      <c r="Q93" s="110" t="s">
        <v>141</v>
      </c>
      <c r="R93" s="110">
        <v>63.7</v>
      </c>
      <c r="S93" s="110">
        <v>90</v>
      </c>
      <c r="T93" s="110" t="s">
        <v>227</v>
      </c>
    </row>
    <row r="94" spans="2:20" x14ac:dyDescent="0.25">
      <c r="B94" s="110" t="s">
        <v>328</v>
      </c>
      <c r="C94" s="110">
        <v>11.2</v>
      </c>
      <c r="D94" s="110" t="s">
        <v>320</v>
      </c>
      <c r="E94" s="110">
        <v>100</v>
      </c>
      <c r="F94" s="110" t="s">
        <v>80</v>
      </c>
      <c r="G94" s="110">
        <v>0.199</v>
      </c>
      <c r="H94" s="110">
        <v>1</v>
      </c>
      <c r="J94" s="110" t="s">
        <v>329</v>
      </c>
      <c r="M94" s="110" t="s">
        <v>330</v>
      </c>
      <c r="N94" s="110">
        <v>121</v>
      </c>
      <c r="O94" s="110">
        <v>1100</v>
      </c>
      <c r="P94" s="110">
        <v>36.44</v>
      </c>
      <c r="Q94" s="110" t="s">
        <v>141</v>
      </c>
      <c r="R94" s="110">
        <v>66.1</v>
      </c>
      <c r="S94" s="110">
        <v>100</v>
      </c>
      <c r="T94" s="110" t="s">
        <v>229</v>
      </c>
    </row>
    <row r="95" spans="13:20" x14ac:dyDescent="0.25">
      <c r="M95" s="110" t="s">
        <v>331</v>
      </c>
      <c r="N95" s="110">
        <v>130</v>
      </c>
      <c r="O95" s="110">
        <v>1150</v>
      </c>
      <c r="P95" s="110">
        <v>39.23</v>
      </c>
      <c r="Q95" s="110" t="s">
        <v>141</v>
      </c>
      <c r="R95" s="110">
        <v>71.3</v>
      </c>
      <c r="S95" s="110">
        <v>110</v>
      </c>
      <c r="T95" s="110" t="s">
        <v>232</v>
      </c>
    </row>
    <row r="96" spans="2:20" x14ac:dyDescent="0.25">
      <c r="B96" s="110" t="s">
        <v>332</v>
      </c>
      <c r="C96" s="110"/>
      <c r="D96" s="110"/>
      <c r="E96" s="110"/>
      <c r="F96" s="110"/>
      <c r="G96" s="110"/>
      <c r="H96" s="110"/>
      <c r="M96" s="110" t="s">
        <v>333</v>
      </c>
      <c r="N96" s="110">
        <v>135</v>
      </c>
      <c r="O96" s="110">
        <v>1200</v>
      </c>
      <c r="P96" s="110">
        <v>41.07</v>
      </c>
      <c r="Q96" s="110" t="s">
        <v>141</v>
      </c>
      <c r="R96" s="110">
        <v>74.4</v>
      </c>
      <c r="S96" s="110">
        <v>110</v>
      </c>
      <c r="T96" s="110" t="s">
        <v>232</v>
      </c>
    </row>
    <row r="97" spans="2:20" x14ac:dyDescent="0.25">
      <c r="B97" s="110" t="s">
        <v>334</v>
      </c>
      <c r="C97" s="110">
        <v>28</v>
      </c>
      <c r="D97" s="110" t="s">
        <v>335</v>
      </c>
      <c r="E97" s="110">
        <v>250</v>
      </c>
      <c r="F97" s="110" t="s">
        <v>124</v>
      </c>
      <c r="G97" s="110">
        <v>0.9</v>
      </c>
      <c r="H97" s="110">
        <v>6</v>
      </c>
      <c r="J97" s="110" t="s">
        <v>336</v>
      </c>
      <c r="M97" s="110" t="s">
        <v>337</v>
      </c>
      <c r="N97" s="110">
        <v>140</v>
      </c>
      <c r="O97" s="110">
        <v>1250</v>
      </c>
      <c r="P97" s="110">
        <v>42.22</v>
      </c>
      <c r="Q97" s="110" t="s">
        <v>141</v>
      </c>
      <c r="R97" s="110">
        <v>76.6</v>
      </c>
      <c r="S97" s="110">
        <v>110</v>
      </c>
      <c r="T97" s="110" t="s">
        <v>232</v>
      </c>
    </row>
    <row r="98" spans="2:20" x14ac:dyDescent="0.25">
      <c r="B98" s="110" t="s">
        <v>338</v>
      </c>
      <c r="C98" s="110">
        <v>45</v>
      </c>
      <c r="D98" s="110" t="s">
        <v>335</v>
      </c>
      <c r="E98" s="110">
        <v>400</v>
      </c>
      <c r="F98" s="110" t="s">
        <v>124</v>
      </c>
      <c r="G98" s="110">
        <v>2.56</v>
      </c>
      <c r="H98" s="110">
        <v>9.2</v>
      </c>
      <c r="J98" s="110" t="s">
        <v>339</v>
      </c>
      <c r="M98" s="110" t="s">
        <v>340</v>
      </c>
      <c r="N98" s="110">
        <v>145</v>
      </c>
      <c r="O98" s="110">
        <v>1300</v>
      </c>
      <c r="P98" s="110">
        <v>44.06</v>
      </c>
      <c r="Q98" s="110" t="s">
        <v>141</v>
      </c>
      <c r="R98" s="110">
        <v>79.7</v>
      </c>
      <c r="S98" s="110">
        <v>125</v>
      </c>
      <c r="T98" s="110" t="s">
        <v>232</v>
      </c>
    </row>
    <row r="99" spans="2:20" x14ac:dyDescent="0.25">
      <c r="B99" s="110" t="s">
        <v>341</v>
      </c>
      <c r="C99" s="110">
        <v>56</v>
      </c>
      <c r="D99" s="110" t="s">
        <v>335</v>
      </c>
      <c r="E99" s="110">
        <v>500</v>
      </c>
      <c r="F99" s="110" t="s">
        <v>124</v>
      </c>
      <c r="G99" s="110">
        <v>2.8</v>
      </c>
      <c r="H99" s="110">
        <v>13.8</v>
      </c>
      <c r="J99" s="110" t="s">
        <v>342</v>
      </c>
      <c r="M99" s="110" t="s">
        <v>343</v>
      </c>
      <c r="N99" s="110">
        <v>150</v>
      </c>
      <c r="O99" s="110">
        <v>1350</v>
      </c>
      <c r="P99" s="110">
        <v>45.21</v>
      </c>
      <c r="Q99" s="110" t="s">
        <v>141</v>
      </c>
      <c r="R99" s="110">
        <v>81.9</v>
      </c>
      <c r="S99" s="110">
        <v>125</v>
      </c>
      <c r="T99" s="110" t="s">
        <v>232</v>
      </c>
    </row>
    <row r="100" spans="13:20" x14ac:dyDescent="0.25">
      <c r="M100" s="110" t="s">
        <v>344</v>
      </c>
      <c r="N100" s="110">
        <v>154</v>
      </c>
      <c r="O100" s="110">
        <v>1400</v>
      </c>
      <c r="P100" s="110">
        <v>46.64</v>
      </c>
      <c r="Q100" s="110" t="s">
        <v>141</v>
      </c>
      <c r="R100" s="110">
        <v>84.3</v>
      </c>
      <c r="S100" s="110">
        <v>125</v>
      </c>
      <c r="T100" s="110" t="s">
        <v>232</v>
      </c>
    </row>
    <row r="101" spans="2:20" x14ac:dyDescent="0.25">
      <c r="B101" s="113" t="s">
        <v>345</v>
      </c>
      <c r="C101" s="110"/>
      <c r="D101" s="110"/>
      <c r="E101" s="110"/>
      <c r="F101" s="110"/>
      <c r="G101" s="110"/>
      <c r="H101" s="110"/>
      <c r="M101" s="110" t="s">
        <v>346</v>
      </c>
      <c r="N101" s="110">
        <v>158</v>
      </c>
      <c r="O101" s="110">
        <v>1450</v>
      </c>
      <c r="P101" s="110">
        <v>48.07</v>
      </c>
      <c r="Q101" s="110" t="s">
        <v>141</v>
      </c>
      <c r="R101" s="110">
        <v>86.7</v>
      </c>
      <c r="S101" s="110">
        <v>150</v>
      </c>
      <c r="T101" s="110" t="s">
        <v>232</v>
      </c>
    </row>
    <row r="102" spans="2:20" x14ac:dyDescent="0.25">
      <c r="B102" s="110" t="s">
        <v>347</v>
      </c>
      <c r="C102" s="110">
        <v>2.2</v>
      </c>
      <c r="D102" s="110" t="s">
        <v>261</v>
      </c>
      <c r="E102" s="110">
        <v>20</v>
      </c>
      <c r="F102" s="110" t="s">
        <v>80</v>
      </c>
      <c r="G102" s="110">
        <v>0.043</v>
      </c>
      <c r="H102" s="110">
        <v>0.2</v>
      </c>
      <c r="J102" s="110" t="s">
        <v>348</v>
      </c>
      <c r="M102" s="110" t="s">
        <v>349</v>
      </c>
      <c r="N102" s="110">
        <v>162</v>
      </c>
      <c r="O102" s="110">
        <v>1500</v>
      </c>
      <c r="P102" s="110">
        <v>49.5</v>
      </c>
      <c r="Q102" s="110" t="s">
        <v>141</v>
      </c>
      <c r="R102" s="110">
        <v>89.1</v>
      </c>
      <c r="S102" s="110">
        <v>150</v>
      </c>
      <c r="T102" s="110" t="s">
        <v>232</v>
      </c>
    </row>
    <row r="103" spans="2:10" x14ac:dyDescent="0.25">
      <c r="B103" s="110" t="s">
        <v>350</v>
      </c>
      <c r="C103" s="110">
        <v>2.8</v>
      </c>
      <c r="D103" s="110" t="s">
        <v>261</v>
      </c>
      <c r="E103" s="110">
        <v>25</v>
      </c>
      <c r="F103" s="110" t="s">
        <v>80</v>
      </c>
      <c r="G103" s="110">
        <v>0.043</v>
      </c>
      <c r="H103" s="110">
        <v>0.2</v>
      </c>
      <c r="J103" s="110" t="s">
        <v>348</v>
      </c>
    </row>
    <row r="104" spans="2:18" x14ac:dyDescent="0.25">
      <c r="B104" s="110" t="s">
        <v>351</v>
      </c>
      <c r="C104" s="110">
        <v>3.6</v>
      </c>
      <c r="D104" s="110" t="s">
        <v>261</v>
      </c>
      <c r="E104" s="110">
        <v>31.25</v>
      </c>
      <c r="F104" s="110" t="s">
        <v>80</v>
      </c>
      <c r="G104" s="110">
        <v>0.045</v>
      </c>
      <c r="H104" s="110">
        <v>0.3</v>
      </c>
      <c r="J104" s="110" t="s">
        <v>348</v>
      </c>
      <c r="M104" s="113" t="s">
        <v>352</v>
      </c>
      <c r="N104" s="110"/>
      <c r="O104" s="110"/>
      <c r="P104" s="110"/>
      <c r="Q104" s="110"/>
      <c r="R104" s="110"/>
    </row>
    <row r="105" spans="2:20" x14ac:dyDescent="0.25">
      <c r="B105" s="110" t="s">
        <v>353</v>
      </c>
      <c r="C105" s="110">
        <v>4.5</v>
      </c>
      <c r="D105" s="110" t="s">
        <v>261</v>
      </c>
      <c r="E105" s="110">
        <v>40</v>
      </c>
      <c r="F105" s="110" t="s">
        <v>80</v>
      </c>
      <c r="G105" s="110">
        <v>0.059</v>
      </c>
      <c r="H105" s="110">
        <v>0.3</v>
      </c>
      <c r="J105" s="110" t="s">
        <v>348</v>
      </c>
      <c r="M105" s="110" t="s">
        <v>354</v>
      </c>
      <c r="N105" s="110">
        <v>44.8</v>
      </c>
      <c r="O105" s="110">
        <v>400</v>
      </c>
      <c r="P105" s="110">
        <v>11.3</v>
      </c>
      <c r="Q105" s="110" t="s">
        <v>141</v>
      </c>
      <c r="R105" s="110">
        <v>21.2</v>
      </c>
      <c r="S105" s="110">
        <v>40</v>
      </c>
      <c r="T105" s="110" t="s">
        <v>193</v>
      </c>
    </row>
    <row r="106" spans="2:20" x14ac:dyDescent="0.25">
      <c r="B106" s="110" t="s">
        <v>355</v>
      </c>
      <c r="C106" s="110">
        <v>5.6</v>
      </c>
      <c r="D106" s="110" t="s">
        <v>261</v>
      </c>
      <c r="E106" s="110">
        <v>50</v>
      </c>
      <c r="F106" s="110" t="s">
        <v>80</v>
      </c>
      <c r="G106" s="110">
        <v>0.092</v>
      </c>
      <c r="H106" s="110">
        <v>0.5</v>
      </c>
      <c r="J106" s="110" t="s">
        <v>348</v>
      </c>
      <c r="M106" s="110" t="s">
        <v>356</v>
      </c>
      <c r="N106" s="110">
        <v>50.4</v>
      </c>
      <c r="O106" s="110">
        <v>450</v>
      </c>
      <c r="P106" s="110">
        <v>12.74</v>
      </c>
      <c r="Q106" s="110" t="s">
        <v>141</v>
      </c>
      <c r="R106" s="110">
        <v>23.8</v>
      </c>
      <c r="S106" s="110">
        <v>45</v>
      </c>
      <c r="T106" s="110" t="s">
        <v>193</v>
      </c>
    </row>
    <row r="107" spans="13:20" x14ac:dyDescent="0.25">
      <c r="M107" s="110" t="s">
        <v>357</v>
      </c>
      <c r="N107" s="110">
        <v>56</v>
      </c>
      <c r="O107" s="110">
        <v>500</v>
      </c>
      <c r="P107" s="110">
        <v>14.18</v>
      </c>
      <c r="Q107" s="110" t="s">
        <v>141</v>
      </c>
      <c r="R107" s="110">
        <v>26.4</v>
      </c>
      <c r="S107" s="110">
        <v>50</v>
      </c>
      <c r="T107" s="110" t="s">
        <v>193</v>
      </c>
    </row>
    <row r="108" spans="2:20" x14ac:dyDescent="0.25">
      <c r="B108" s="113" t="s">
        <v>358</v>
      </c>
      <c r="C108" s="110"/>
      <c r="D108" s="110"/>
      <c r="E108" s="110"/>
      <c r="F108" s="110"/>
      <c r="G108" s="110"/>
      <c r="H108" s="110"/>
      <c r="M108" s="110" t="s">
        <v>359</v>
      </c>
      <c r="N108" s="110">
        <v>62.4</v>
      </c>
      <c r="O108" s="110">
        <v>550</v>
      </c>
      <c r="P108" s="110">
        <v>17.73</v>
      </c>
      <c r="Q108" s="110" t="s">
        <v>141</v>
      </c>
      <c r="R108" s="110">
        <v>32.6</v>
      </c>
      <c r="S108" s="110">
        <v>60</v>
      </c>
      <c r="T108" s="110" t="s">
        <v>201</v>
      </c>
    </row>
    <row r="109" spans="2:20" x14ac:dyDescent="0.25">
      <c r="B109" s="110" t="s">
        <v>360</v>
      </c>
      <c r="C109" s="110">
        <v>2.2</v>
      </c>
      <c r="D109" s="110" t="s">
        <v>261</v>
      </c>
      <c r="E109" s="110">
        <v>20</v>
      </c>
      <c r="F109" s="110" t="s">
        <v>80</v>
      </c>
      <c r="G109" s="110">
        <v>0.056</v>
      </c>
      <c r="H109" s="110">
        <v>0.2</v>
      </c>
      <c r="J109" s="110" t="s">
        <v>361</v>
      </c>
      <c r="M109" s="110" t="s">
        <v>362</v>
      </c>
      <c r="N109" s="110">
        <v>68</v>
      </c>
      <c r="O109" s="110">
        <v>600</v>
      </c>
      <c r="P109" s="110">
        <v>19.17</v>
      </c>
      <c r="Q109" s="110" t="s">
        <v>141</v>
      </c>
      <c r="R109" s="110">
        <v>35.2</v>
      </c>
      <c r="S109" s="110">
        <v>60</v>
      </c>
      <c r="T109" s="110" t="s">
        <v>201</v>
      </c>
    </row>
    <row r="110" spans="2:20" x14ac:dyDescent="0.25">
      <c r="B110" s="110" t="s">
        <v>363</v>
      </c>
      <c r="C110" s="110">
        <v>2.8</v>
      </c>
      <c r="D110" s="110" t="s">
        <v>261</v>
      </c>
      <c r="E110" s="110">
        <v>25</v>
      </c>
      <c r="F110" s="110" t="s">
        <v>80</v>
      </c>
      <c r="G110" s="110">
        <v>0.056</v>
      </c>
      <c r="H110" s="110">
        <v>0.2</v>
      </c>
      <c r="J110" s="110" t="s">
        <v>361</v>
      </c>
      <c r="M110" s="110" t="s">
        <v>364</v>
      </c>
      <c r="N110" s="110">
        <v>72.4</v>
      </c>
      <c r="O110" s="110">
        <v>650</v>
      </c>
      <c r="P110" s="110">
        <v>20.72</v>
      </c>
      <c r="Q110" s="110" t="s">
        <v>141</v>
      </c>
      <c r="R110" s="110">
        <v>37.9</v>
      </c>
      <c r="S110" s="110">
        <v>60</v>
      </c>
      <c r="T110" s="110" t="s">
        <v>201</v>
      </c>
    </row>
    <row r="111" spans="2:20" x14ac:dyDescent="0.25">
      <c r="B111" s="110" t="s">
        <v>365</v>
      </c>
      <c r="C111" s="110">
        <v>3.6</v>
      </c>
      <c r="D111" s="110" t="s">
        <v>261</v>
      </c>
      <c r="E111" s="110">
        <v>31.25</v>
      </c>
      <c r="F111" s="110" t="s">
        <v>80</v>
      </c>
      <c r="G111" s="110">
        <v>0.056</v>
      </c>
      <c r="H111" s="110">
        <v>0.2</v>
      </c>
      <c r="J111" s="110" t="s">
        <v>361</v>
      </c>
      <c r="M111" s="110" t="s">
        <v>366</v>
      </c>
      <c r="N111" s="110">
        <v>80</v>
      </c>
      <c r="O111" s="110">
        <v>700</v>
      </c>
      <c r="P111" s="110">
        <v>24.16</v>
      </c>
      <c r="Q111" s="110" t="s">
        <v>141</v>
      </c>
      <c r="R111" s="110">
        <v>44</v>
      </c>
      <c r="S111" s="110">
        <v>70</v>
      </c>
      <c r="T111" s="110" t="s">
        <v>367</v>
      </c>
    </row>
    <row r="112" spans="2:20" x14ac:dyDescent="0.25">
      <c r="B112" s="110" t="s">
        <v>368</v>
      </c>
      <c r="C112" s="110">
        <v>4.5</v>
      </c>
      <c r="D112" s="110" t="s">
        <v>261</v>
      </c>
      <c r="E112" s="110">
        <v>40</v>
      </c>
      <c r="F112" s="110" t="s">
        <v>80</v>
      </c>
      <c r="G112" s="110">
        <v>0.056</v>
      </c>
      <c r="H112" s="110">
        <v>0.2</v>
      </c>
      <c r="J112" s="110" t="s">
        <v>361</v>
      </c>
      <c r="M112" s="110" t="s">
        <v>369</v>
      </c>
      <c r="N112" s="110">
        <v>83.9</v>
      </c>
      <c r="O112" s="110">
        <v>750</v>
      </c>
      <c r="P112" s="110">
        <v>22.71</v>
      </c>
      <c r="Q112" s="110" t="s">
        <v>141</v>
      </c>
      <c r="R112" s="110">
        <v>42</v>
      </c>
      <c r="S112" s="110">
        <v>70</v>
      </c>
      <c r="T112" s="110" t="s">
        <v>259</v>
      </c>
    </row>
    <row r="113" spans="2:20" x14ac:dyDescent="0.25">
      <c r="B113" s="110" t="s">
        <v>370</v>
      </c>
      <c r="C113" s="110">
        <v>5.6</v>
      </c>
      <c r="D113" s="110" t="s">
        <v>261</v>
      </c>
      <c r="E113" s="110">
        <v>50</v>
      </c>
      <c r="F113" s="110" t="s">
        <v>80</v>
      </c>
      <c r="G113" s="110">
        <v>0.056</v>
      </c>
      <c r="H113" s="110">
        <v>0.3</v>
      </c>
      <c r="J113" s="110" t="s">
        <v>371</v>
      </c>
      <c r="M113" s="110" t="s">
        <v>372</v>
      </c>
      <c r="N113" s="110">
        <v>89.4</v>
      </c>
      <c r="O113" s="110">
        <v>800</v>
      </c>
      <c r="P113" s="110">
        <v>25.59</v>
      </c>
      <c r="Q113" s="110" t="s">
        <v>141</v>
      </c>
      <c r="R113" s="110">
        <v>47</v>
      </c>
      <c r="S113" s="110">
        <v>70</v>
      </c>
      <c r="T113" s="110" t="s">
        <v>259</v>
      </c>
    </row>
    <row r="114" spans="2:20" x14ac:dyDescent="0.25">
      <c r="B114" s="110" t="s">
        <v>373</v>
      </c>
      <c r="C114" s="110">
        <v>7.1</v>
      </c>
      <c r="D114" s="110" t="s">
        <v>261</v>
      </c>
      <c r="E114" s="110">
        <v>62.5</v>
      </c>
      <c r="F114" s="110" t="s">
        <v>80</v>
      </c>
      <c r="G114" s="110">
        <v>0.106</v>
      </c>
      <c r="H114" s="110">
        <v>0.4</v>
      </c>
      <c r="J114" s="110" t="s">
        <v>371</v>
      </c>
      <c r="M114" s="110" t="s">
        <v>374</v>
      </c>
      <c r="N114" s="110">
        <v>95</v>
      </c>
      <c r="O114" s="110">
        <v>850</v>
      </c>
      <c r="P114" s="110">
        <v>27.03</v>
      </c>
      <c r="Q114" s="110" t="s">
        <v>141</v>
      </c>
      <c r="R114" s="110">
        <v>49.6</v>
      </c>
      <c r="S114" s="110">
        <v>80</v>
      </c>
      <c r="T114" s="110" t="s">
        <v>259</v>
      </c>
    </row>
    <row r="115" spans="2:20" x14ac:dyDescent="0.25">
      <c r="B115" s="110" t="s">
        <v>375</v>
      </c>
      <c r="C115" s="110">
        <v>9</v>
      </c>
      <c r="D115" s="110" t="s">
        <v>261</v>
      </c>
      <c r="E115" s="110">
        <v>80</v>
      </c>
      <c r="F115" s="110" t="s">
        <v>80</v>
      </c>
      <c r="G115" s="110">
        <v>0.112</v>
      </c>
      <c r="H115" s="110">
        <v>0.5</v>
      </c>
      <c r="J115" s="110" t="s">
        <v>376</v>
      </c>
      <c r="M115" s="110" t="s">
        <v>377</v>
      </c>
      <c r="N115" s="110">
        <v>100.5</v>
      </c>
      <c r="O115" s="110">
        <v>900</v>
      </c>
      <c r="P115" s="110">
        <v>29.91</v>
      </c>
      <c r="Q115" s="110" t="s">
        <v>141</v>
      </c>
      <c r="R115" s="110">
        <v>54.6</v>
      </c>
      <c r="S115" s="110">
        <v>80</v>
      </c>
      <c r="T115" s="110" t="s">
        <v>259</v>
      </c>
    </row>
    <row r="116" spans="2:20" x14ac:dyDescent="0.25">
      <c r="B116" s="110" t="s">
        <v>378</v>
      </c>
      <c r="C116" s="110">
        <v>14</v>
      </c>
      <c r="D116" s="110" t="s">
        <v>261</v>
      </c>
      <c r="E116" s="110">
        <v>125</v>
      </c>
      <c r="F116" s="110" t="s">
        <v>80</v>
      </c>
      <c r="G116" s="110">
        <v>0.212</v>
      </c>
      <c r="H116" s="110">
        <v>0.9</v>
      </c>
      <c r="J116" s="110" t="s">
        <v>376</v>
      </c>
      <c r="M116" s="110" t="s">
        <v>379</v>
      </c>
      <c r="N116" s="110">
        <v>106</v>
      </c>
      <c r="O116" s="110">
        <v>950</v>
      </c>
      <c r="P116" s="110">
        <v>29.25</v>
      </c>
      <c r="Q116" s="110" t="s">
        <v>141</v>
      </c>
      <c r="R116" s="110">
        <v>53.7</v>
      </c>
      <c r="S116" s="110">
        <v>90</v>
      </c>
      <c r="T116" s="110" t="s">
        <v>227</v>
      </c>
    </row>
    <row r="117" spans="13:20" x14ac:dyDescent="0.25">
      <c r="M117" s="110" t="s">
        <v>380</v>
      </c>
      <c r="N117" s="110">
        <v>112</v>
      </c>
      <c r="O117" s="110">
        <v>1000</v>
      </c>
      <c r="P117" s="110">
        <v>33.86</v>
      </c>
      <c r="Q117" s="110" t="s">
        <v>141</v>
      </c>
      <c r="R117" s="110">
        <v>61.5</v>
      </c>
      <c r="S117" s="110">
        <v>90</v>
      </c>
      <c r="T117" s="110" t="s">
        <v>227</v>
      </c>
    </row>
    <row r="118" spans="2:20" x14ac:dyDescent="0.25">
      <c r="B118" s="113" t="s">
        <v>381</v>
      </c>
      <c r="C118" s="110"/>
      <c r="D118" s="110"/>
      <c r="E118" s="110"/>
      <c r="F118" s="110"/>
      <c r="M118" s="110" t="s">
        <v>382</v>
      </c>
      <c r="N118" s="110">
        <v>118</v>
      </c>
      <c r="O118" s="110">
        <v>1050</v>
      </c>
      <c r="P118" s="110">
        <v>34.24</v>
      </c>
      <c r="Q118" s="110" t="s">
        <v>141</v>
      </c>
      <c r="R118" s="110">
        <v>62.5</v>
      </c>
      <c r="S118" s="110">
        <v>100</v>
      </c>
      <c r="T118" s="110" t="s">
        <v>279</v>
      </c>
    </row>
    <row r="119" spans="2:20" x14ac:dyDescent="0.25">
      <c r="B119" s="110" t="s">
        <v>383</v>
      </c>
      <c r="C119" s="110">
        <v>2.5</v>
      </c>
      <c r="D119" s="110" t="s">
        <v>261</v>
      </c>
      <c r="E119" s="110">
        <v>25</v>
      </c>
      <c r="F119" s="110" t="s">
        <v>80</v>
      </c>
      <c r="G119" s="122">
        <v>0.073</v>
      </c>
      <c r="H119" s="110">
        <v>0.37</v>
      </c>
      <c r="J119" s="110" t="s">
        <v>384</v>
      </c>
      <c r="M119" s="110" t="s">
        <v>385</v>
      </c>
      <c r="N119" s="110">
        <v>123.5</v>
      </c>
      <c r="O119" s="110">
        <v>1100</v>
      </c>
      <c r="P119" s="110">
        <v>37.12</v>
      </c>
      <c r="Q119" s="110" t="s">
        <v>141</v>
      </c>
      <c r="R119" s="110">
        <v>67.5</v>
      </c>
      <c r="S119" s="110">
        <v>100</v>
      </c>
      <c r="T119" s="110" t="s">
        <v>279</v>
      </c>
    </row>
    <row r="120" spans="2:20" x14ac:dyDescent="0.25">
      <c r="B120" s="110" t="s">
        <v>386</v>
      </c>
      <c r="C120" s="110">
        <v>3</v>
      </c>
      <c r="D120" s="110" t="s">
        <v>261</v>
      </c>
      <c r="E120" s="110">
        <v>30</v>
      </c>
      <c r="F120" s="110" t="s">
        <v>80</v>
      </c>
      <c r="G120" s="110">
        <v>0.084</v>
      </c>
      <c r="H120" s="110">
        <v>0.4</v>
      </c>
      <c r="J120" s="110" t="s">
        <v>384</v>
      </c>
      <c r="M120" s="110" t="s">
        <v>387</v>
      </c>
      <c r="N120" s="110">
        <v>128</v>
      </c>
      <c r="O120" s="110">
        <v>1150</v>
      </c>
      <c r="P120" s="110">
        <v>37.23</v>
      </c>
      <c r="Q120" s="110" t="s">
        <v>141</v>
      </c>
      <c r="R120" s="110">
        <v>67.8</v>
      </c>
      <c r="S120" s="110">
        <v>110</v>
      </c>
      <c r="T120" s="110" t="s">
        <v>279</v>
      </c>
    </row>
    <row r="121" spans="2:20" x14ac:dyDescent="0.25">
      <c r="B121" s="110" t="s">
        <v>388</v>
      </c>
      <c r="C121" s="110">
        <v>4</v>
      </c>
      <c r="D121" s="110" t="s">
        <v>261</v>
      </c>
      <c r="E121" s="110">
        <v>40</v>
      </c>
      <c r="F121" s="110" t="s">
        <v>80</v>
      </c>
      <c r="G121" s="110">
        <v>0.097</v>
      </c>
      <c r="H121" s="110">
        <v>0.49</v>
      </c>
      <c r="J121" s="110" t="s">
        <v>384</v>
      </c>
      <c r="M121" s="110" t="s">
        <v>389</v>
      </c>
      <c r="N121" s="110">
        <v>133.5</v>
      </c>
      <c r="O121" s="110">
        <v>1200</v>
      </c>
      <c r="P121" s="110">
        <v>40.11</v>
      </c>
      <c r="Q121" s="110" t="s">
        <v>141</v>
      </c>
      <c r="R121" s="110">
        <v>72.8</v>
      </c>
      <c r="S121" s="110">
        <v>110</v>
      </c>
      <c r="T121" s="110" t="s">
        <v>279</v>
      </c>
    </row>
    <row r="122" spans="2:41" x14ac:dyDescent="0.25">
      <c r="B122" s="110" t="s">
        <v>390</v>
      </c>
      <c r="C122" s="110">
        <v>5</v>
      </c>
      <c r="D122" s="110" t="s">
        <v>261</v>
      </c>
      <c r="E122" s="110">
        <v>50</v>
      </c>
      <c r="F122" s="110" t="s">
        <v>80</v>
      </c>
      <c r="G122" s="110">
        <v>0.097</v>
      </c>
      <c r="H122" s="110">
        <v>0.49</v>
      </c>
      <c r="J122" s="110" t="s">
        <v>384</v>
      </c>
      <c r="AB122" s="123" t="s">
        <v>391</v>
      </c>
      <c r="AC122" s="112"/>
      <c r="AD122" s="110"/>
      <c r="AE122" s="110"/>
      <c r="AF122" s="110"/>
      <c r="AG122" s="110"/>
      <c r="AJ122" s="123" t="s">
        <v>391</v>
      </c>
      <c r="AK122" s="110"/>
      <c r="AL122" s="110"/>
      <c r="AM122" s="110"/>
      <c r="AN122" s="110"/>
      <c r="AO122" s="110"/>
    </row>
    <row r="123" spans="2:41" x14ac:dyDescent="0.25">
      <c r="B123" s="110" t="s">
        <v>392</v>
      </c>
      <c r="C123" s="110">
        <v>6</v>
      </c>
      <c r="D123" s="110" t="s">
        <v>261</v>
      </c>
      <c r="E123" s="110">
        <v>60</v>
      </c>
      <c r="F123" s="110" t="s">
        <v>80</v>
      </c>
      <c r="G123" s="110">
        <v>0.12</v>
      </c>
      <c r="H123" s="110">
        <v>0.61</v>
      </c>
      <c r="J123" s="110" t="s">
        <v>384</v>
      </c>
      <c r="M123" s="113" t="s">
        <v>393</v>
      </c>
      <c r="N123" s="110"/>
      <c r="O123" s="110"/>
      <c r="P123" s="110"/>
      <c r="Q123" s="110"/>
      <c r="R123" s="110"/>
      <c r="AB123" s="110" t="s">
        <v>394</v>
      </c>
      <c r="AC123" s="112">
        <v>2.2</v>
      </c>
      <c r="AD123" s="110" t="s">
        <v>303</v>
      </c>
      <c r="AE123" s="110" t="s">
        <v>395</v>
      </c>
      <c r="AF123" s="110" t="s">
        <v>396</v>
      </c>
      <c r="AG123" s="110" t="s">
        <v>395</v>
      </c>
      <c r="AJ123" s="110" t="s">
        <v>397</v>
      </c>
      <c r="AK123" s="110" t="s">
        <v>398</v>
      </c>
      <c r="AL123" s="110" t="s">
        <v>395</v>
      </c>
      <c r="AM123" s="110">
        <v>0.388</v>
      </c>
      <c r="AN123" s="110" t="s">
        <v>80</v>
      </c>
      <c r="AO123" s="110">
        <v>2.5</v>
      </c>
    </row>
    <row r="124" spans="13:41" x14ac:dyDescent="0.25">
      <c r="M124" s="110" t="s">
        <v>399</v>
      </c>
      <c r="N124" s="110">
        <v>22.4</v>
      </c>
      <c r="O124" s="110">
        <v>200</v>
      </c>
      <c r="P124" s="110">
        <v>6.28</v>
      </c>
      <c r="Q124" s="110" t="s">
        <v>124</v>
      </c>
      <c r="R124" s="110">
        <v>18.8</v>
      </c>
      <c r="S124" s="110">
        <v>40</v>
      </c>
      <c r="T124" s="110" t="s">
        <v>400</v>
      </c>
      <c r="AB124" s="110" t="s">
        <v>401</v>
      </c>
      <c r="AC124" s="112">
        <v>2.8</v>
      </c>
      <c r="AD124" s="110" t="s">
        <v>303</v>
      </c>
      <c r="AE124" s="110" t="s">
        <v>395</v>
      </c>
      <c r="AF124" s="110" t="s">
        <v>396</v>
      </c>
      <c r="AG124" s="110" t="s">
        <v>395</v>
      </c>
      <c r="AJ124" s="110" t="s">
        <v>402</v>
      </c>
      <c r="AK124" s="110" t="s">
        <v>398</v>
      </c>
      <c r="AL124" s="110" t="s">
        <v>395</v>
      </c>
      <c r="AM124" s="110">
        <v>0.543</v>
      </c>
      <c r="AN124" s="110" t="s">
        <v>80</v>
      </c>
      <c r="AO124" s="110">
        <v>2.7</v>
      </c>
    </row>
    <row r="125" spans="2:41" x14ac:dyDescent="0.25">
      <c r="B125" s="113" t="s">
        <v>403</v>
      </c>
      <c r="C125" s="110"/>
      <c r="D125" s="110"/>
      <c r="E125" s="110"/>
      <c r="F125" s="110"/>
      <c r="M125" s="110" t="s">
        <v>404</v>
      </c>
      <c r="N125" s="110">
        <v>28</v>
      </c>
      <c r="O125" s="110">
        <v>250</v>
      </c>
      <c r="P125" s="110">
        <v>8.99</v>
      </c>
      <c r="Q125" s="110" t="s">
        <v>124</v>
      </c>
      <c r="R125" s="110">
        <v>25.8</v>
      </c>
      <c r="S125" s="110">
        <v>45</v>
      </c>
      <c r="T125" s="110" t="s">
        <v>400</v>
      </c>
      <c r="AB125" s="110" t="s">
        <v>405</v>
      </c>
      <c r="AC125" s="112">
        <v>3.5</v>
      </c>
      <c r="AD125" s="110" t="s">
        <v>303</v>
      </c>
      <c r="AE125" s="110" t="s">
        <v>395</v>
      </c>
      <c r="AF125" s="110" t="s">
        <v>396</v>
      </c>
      <c r="AG125" s="110" t="s">
        <v>395</v>
      </c>
      <c r="AJ125" s="110" t="s">
        <v>406</v>
      </c>
      <c r="AK125" s="110" t="s">
        <v>398</v>
      </c>
      <c r="AL125" s="110" t="s">
        <v>395</v>
      </c>
      <c r="AM125" s="110">
        <v>0.785</v>
      </c>
      <c r="AN125" s="110" t="s">
        <v>80</v>
      </c>
      <c r="AO125" s="110">
        <v>3.8</v>
      </c>
    </row>
    <row r="126" spans="2:41" x14ac:dyDescent="0.25">
      <c r="B126" s="110" t="s">
        <v>407</v>
      </c>
      <c r="C126" s="110">
        <v>2.5</v>
      </c>
      <c r="D126" s="110" t="s">
        <v>83</v>
      </c>
      <c r="E126" s="110">
        <v>25</v>
      </c>
      <c r="F126" s="110" t="s">
        <v>80</v>
      </c>
      <c r="G126" s="110">
        <v>0.062</v>
      </c>
      <c r="H126" s="110">
        <v>0.5</v>
      </c>
      <c r="J126" s="110" t="s">
        <v>84</v>
      </c>
      <c r="M126" s="110" t="s">
        <v>408</v>
      </c>
      <c r="N126" s="110">
        <v>33.5</v>
      </c>
      <c r="O126" s="110">
        <v>300</v>
      </c>
      <c r="P126" s="110">
        <v>10.27</v>
      </c>
      <c r="Q126" s="110" t="s">
        <v>124</v>
      </c>
      <c r="R126" s="110">
        <v>29.4</v>
      </c>
      <c r="S126" s="110">
        <v>50</v>
      </c>
      <c r="T126" s="110" t="s">
        <v>409</v>
      </c>
      <c r="AB126" s="110" t="s">
        <v>410</v>
      </c>
      <c r="AC126" s="112">
        <v>4.1</v>
      </c>
      <c r="AD126" s="110" t="s">
        <v>303</v>
      </c>
      <c r="AE126" s="110" t="s">
        <v>395</v>
      </c>
      <c r="AF126" s="110" t="s">
        <v>396</v>
      </c>
      <c r="AG126" s="110" t="s">
        <v>395</v>
      </c>
      <c r="AJ126" s="110" t="s">
        <v>411</v>
      </c>
      <c r="AK126" s="110" t="s">
        <v>398</v>
      </c>
      <c r="AL126" s="110" t="s">
        <v>395</v>
      </c>
      <c r="AM126" s="110">
        <v>0.915</v>
      </c>
      <c r="AN126" s="110" t="s">
        <v>80</v>
      </c>
      <c r="AO126" s="110">
        <v>4.5</v>
      </c>
    </row>
    <row r="127" spans="2:41" x14ac:dyDescent="0.25">
      <c r="B127" s="110" t="s">
        <v>412</v>
      </c>
      <c r="C127" s="110">
        <v>3</v>
      </c>
      <c r="D127" s="110" t="s">
        <v>83</v>
      </c>
      <c r="E127" s="110">
        <v>30</v>
      </c>
      <c r="F127" s="110" t="s">
        <v>80</v>
      </c>
      <c r="G127" s="110">
        <v>0.062</v>
      </c>
      <c r="H127" s="110">
        <v>0.5</v>
      </c>
      <c r="J127" s="110" t="s">
        <v>84</v>
      </c>
      <c r="M127" s="110" t="s">
        <v>413</v>
      </c>
      <c r="N127" s="110">
        <v>39</v>
      </c>
      <c r="O127" s="110">
        <v>350</v>
      </c>
      <c r="P127" s="110">
        <v>12.8</v>
      </c>
      <c r="Q127" s="110" t="s">
        <v>124</v>
      </c>
      <c r="R127" s="110">
        <v>37.3</v>
      </c>
      <c r="S127" s="110">
        <v>65</v>
      </c>
      <c r="T127" s="110" t="s">
        <v>414</v>
      </c>
      <c r="AB127" s="110" t="s">
        <v>415</v>
      </c>
      <c r="AC127" s="112">
        <v>5</v>
      </c>
      <c r="AD127" s="110" t="s">
        <v>303</v>
      </c>
      <c r="AE127" s="110" t="s">
        <v>395</v>
      </c>
      <c r="AF127" s="110" t="s">
        <v>396</v>
      </c>
      <c r="AG127" s="110" t="s">
        <v>395</v>
      </c>
      <c r="AJ127" s="110" t="s">
        <v>416</v>
      </c>
      <c r="AK127" s="110" t="s">
        <v>398</v>
      </c>
      <c r="AL127" s="110" t="s">
        <v>395</v>
      </c>
      <c r="AM127" s="110">
        <v>1.27</v>
      </c>
      <c r="AN127" s="110" t="s">
        <v>80</v>
      </c>
      <c r="AO127" s="110">
        <v>6.1</v>
      </c>
    </row>
    <row r="128" spans="2:41" x14ac:dyDescent="0.25">
      <c r="B128" s="110" t="s">
        <v>417</v>
      </c>
      <c r="C128" s="110">
        <v>4</v>
      </c>
      <c r="D128" s="110" t="s">
        <v>83</v>
      </c>
      <c r="E128" s="110">
        <v>40</v>
      </c>
      <c r="F128" s="110" t="s">
        <v>80</v>
      </c>
      <c r="G128" s="110">
        <v>0.13</v>
      </c>
      <c r="H128" s="110">
        <v>0.7</v>
      </c>
      <c r="J128" s="110" t="s">
        <v>97</v>
      </c>
      <c r="M128" s="110" t="s">
        <v>418</v>
      </c>
      <c r="N128" s="110">
        <v>42.5</v>
      </c>
      <c r="O128" s="110">
        <v>400</v>
      </c>
      <c r="P128" s="110">
        <v>14.18</v>
      </c>
      <c r="Q128" s="110" t="s">
        <v>124</v>
      </c>
      <c r="R128" s="110">
        <v>40.6</v>
      </c>
      <c r="S128" s="110">
        <v>65</v>
      </c>
      <c r="T128" s="110" t="s">
        <v>419</v>
      </c>
      <c r="AB128" s="110" t="s">
        <v>420</v>
      </c>
      <c r="AC128" s="112">
        <v>6.3</v>
      </c>
      <c r="AD128" s="110" t="s">
        <v>303</v>
      </c>
      <c r="AE128" s="110" t="s">
        <v>395</v>
      </c>
      <c r="AF128" s="110" t="s">
        <v>396</v>
      </c>
      <c r="AG128" s="110" t="s">
        <v>395</v>
      </c>
      <c r="AJ128" s="110" t="s">
        <v>421</v>
      </c>
      <c r="AK128" s="110" t="s">
        <v>398</v>
      </c>
      <c r="AL128" s="110" t="s">
        <v>395</v>
      </c>
      <c r="AM128" s="110">
        <v>1.77</v>
      </c>
      <c r="AN128" s="110" t="s">
        <v>80</v>
      </c>
      <c r="AO128" s="110">
        <v>8.3</v>
      </c>
    </row>
    <row r="129" spans="2:41" x14ac:dyDescent="0.25">
      <c r="B129" s="110" t="s">
        <v>422</v>
      </c>
      <c r="C129" s="110">
        <v>5</v>
      </c>
      <c r="D129" s="110" t="s">
        <v>83</v>
      </c>
      <c r="E129" s="110">
        <v>50</v>
      </c>
      <c r="F129" s="110" t="s">
        <v>80</v>
      </c>
      <c r="G129" s="110">
        <v>0.13</v>
      </c>
      <c r="H129" s="110">
        <v>0.7</v>
      </c>
      <c r="J129" s="110" t="s">
        <v>97</v>
      </c>
      <c r="M129" s="110" t="s">
        <v>423</v>
      </c>
      <c r="N129" s="110">
        <v>50.4</v>
      </c>
      <c r="O129" s="110">
        <v>450</v>
      </c>
      <c r="P129" s="110">
        <v>15.27</v>
      </c>
      <c r="Q129" s="110" t="s">
        <v>124</v>
      </c>
      <c r="R129" s="110">
        <v>44.6</v>
      </c>
      <c r="S129" s="110">
        <v>80</v>
      </c>
      <c r="T129" s="110" t="s">
        <v>424</v>
      </c>
      <c r="AB129" s="110" t="s">
        <v>425</v>
      </c>
      <c r="AC129" s="112">
        <v>7.2</v>
      </c>
      <c r="AD129" s="110" t="s">
        <v>303</v>
      </c>
      <c r="AE129" s="110" t="s">
        <v>395</v>
      </c>
      <c r="AF129" s="110" t="s">
        <v>396</v>
      </c>
      <c r="AG129" s="110" t="s">
        <v>395</v>
      </c>
      <c r="AJ129" s="110" t="s">
        <v>426</v>
      </c>
      <c r="AK129" s="110" t="s">
        <v>398</v>
      </c>
      <c r="AL129" s="110" t="s">
        <v>395</v>
      </c>
      <c r="AM129" s="110">
        <v>2.15</v>
      </c>
      <c r="AN129" s="110" t="s">
        <v>80</v>
      </c>
      <c r="AO129" s="110">
        <v>10</v>
      </c>
    </row>
    <row r="130" spans="2:20" x14ac:dyDescent="0.25">
      <c r="B130" s="110" t="s">
        <v>427</v>
      </c>
      <c r="C130" s="110">
        <v>6</v>
      </c>
      <c r="D130" s="110" t="s">
        <v>83</v>
      </c>
      <c r="E130" s="110">
        <v>60</v>
      </c>
      <c r="F130" s="110" t="s">
        <v>80</v>
      </c>
      <c r="G130" s="110">
        <v>0.13</v>
      </c>
      <c r="H130" s="110">
        <v>0.8</v>
      </c>
      <c r="J130" s="110" t="s">
        <v>104</v>
      </c>
      <c r="M130" s="110" t="s">
        <v>428</v>
      </c>
      <c r="N130" s="110">
        <v>56</v>
      </c>
      <c r="O130" s="110">
        <v>500</v>
      </c>
      <c r="P130" s="110">
        <v>17.98</v>
      </c>
      <c r="Q130" s="110" t="s">
        <v>124</v>
      </c>
      <c r="R130" s="110">
        <v>51.6</v>
      </c>
      <c r="S130" s="110">
        <v>90</v>
      </c>
      <c r="T130" s="110" t="s">
        <v>424</v>
      </c>
    </row>
    <row r="131" spans="13:20" x14ac:dyDescent="0.25">
      <c r="M131" s="110" t="s">
        <v>429</v>
      </c>
      <c r="N131" s="110">
        <v>61.4</v>
      </c>
      <c r="O131" s="110">
        <v>550</v>
      </c>
      <c r="P131" s="110">
        <v>19.08</v>
      </c>
      <c r="Q131" s="110" t="s">
        <v>124</v>
      </c>
      <c r="R131" s="110">
        <v>56.1</v>
      </c>
      <c r="S131" s="110">
        <v>100</v>
      </c>
      <c r="T131" s="110" t="s">
        <v>430</v>
      </c>
    </row>
    <row r="132" spans="2:41" x14ac:dyDescent="0.25">
      <c r="B132" s="113" t="s">
        <v>431</v>
      </c>
      <c r="C132" s="110"/>
      <c r="D132" s="110"/>
      <c r="E132" s="110"/>
      <c r="F132" s="110"/>
      <c r="I132" s="104"/>
      <c r="J132" s="104"/>
      <c r="M132" s="110" t="s">
        <v>432</v>
      </c>
      <c r="N132" s="110">
        <v>64.9</v>
      </c>
      <c r="O132" s="110">
        <v>600</v>
      </c>
      <c r="P132" s="110">
        <v>20.46</v>
      </c>
      <c r="Q132" s="110" t="s">
        <v>124</v>
      </c>
      <c r="R132" s="110">
        <v>59.4</v>
      </c>
      <c r="S132" s="110">
        <v>100</v>
      </c>
      <c r="T132" s="110" t="s">
        <v>430</v>
      </c>
      <c r="AB132" s="123" t="s">
        <v>433</v>
      </c>
      <c r="AC132" s="112"/>
      <c r="AD132" s="110"/>
      <c r="AE132" s="110"/>
      <c r="AF132" s="110"/>
      <c r="AG132" s="110"/>
      <c r="AJ132" s="123" t="s">
        <v>433</v>
      </c>
      <c r="AK132" s="110"/>
      <c r="AL132" s="110"/>
      <c r="AM132" s="110"/>
      <c r="AN132" s="110"/>
      <c r="AO132" s="110"/>
    </row>
    <row r="133" spans="2:41" x14ac:dyDescent="0.25">
      <c r="B133" s="110" t="s">
        <v>434</v>
      </c>
      <c r="C133" s="110">
        <v>2</v>
      </c>
      <c r="D133" s="110" t="s">
        <v>303</v>
      </c>
      <c r="E133" s="110">
        <v>20</v>
      </c>
      <c r="F133" s="110" t="s">
        <v>80</v>
      </c>
      <c r="G133" s="110">
        <v>0.018</v>
      </c>
      <c r="H133" s="110">
        <v>0.09</v>
      </c>
      <c r="J133" s="110" t="s">
        <v>435</v>
      </c>
      <c r="M133" s="110" t="s">
        <v>436</v>
      </c>
      <c r="N133" s="110">
        <v>70.5</v>
      </c>
      <c r="O133" s="110">
        <v>650</v>
      </c>
      <c r="P133" s="110">
        <v>23.17</v>
      </c>
      <c r="Q133" s="110" t="s">
        <v>124</v>
      </c>
      <c r="R133" s="110">
        <v>66.4</v>
      </c>
      <c r="S133" s="110">
        <v>110</v>
      </c>
      <c r="T133" s="110" t="s">
        <v>430</v>
      </c>
      <c r="AB133" s="110" t="s">
        <v>437</v>
      </c>
      <c r="AC133" s="112">
        <v>2.2</v>
      </c>
      <c r="AD133" s="110" t="s">
        <v>303</v>
      </c>
      <c r="AE133" s="110" t="s">
        <v>395</v>
      </c>
      <c r="AF133" s="110" t="s">
        <v>396</v>
      </c>
      <c r="AG133" s="110" t="s">
        <v>395</v>
      </c>
      <c r="AJ133" s="110" t="s">
        <v>438</v>
      </c>
      <c r="AK133" s="110" t="s">
        <v>398</v>
      </c>
      <c r="AL133" s="110" t="s">
        <v>395</v>
      </c>
      <c r="AM133" s="110">
        <v>0.515</v>
      </c>
      <c r="AN133" s="110" t="s">
        <v>80</v>
      </c>
      <c r="AO133" s="110">
        <v>3.1</v>
      </c>
    </row>
    <row r="134" spans="2:41" x14ac:dyDescent="0.25">
      <c r="B134" s="110" t="s">
        <v>439</v>
      </c>
      <c r="C134" s="110">
        <v>2.5</v>
      </c>
      <c r="D134" s="110" t="s">
        <v>303</v>
      </c>
      <c r="E134" s="110">
        <v>25</v>
      </c>
      <c r="F134" s="110" t="s">
        <v>80</v>
      </c>
      <c r="G134" s="110">
        <v>0.018</v>
      </c>
      <c r="H134" s="110">
        <v>0.09</v>
      </c>
      <c r="J134" s="110" t="s">
        <v>435</v>
      </c>
      <c r="M134" s="110" t="s">
        <v>440</v>
      </c>
      <c r="N134" s="110">
        <v>76</v>
      </c>
      <c r="O134" s="110">
        <v>700</v>
      </c>
      <c r="P134" s="110">
        <v>24.45</v>
      </c>
      <c r="Q134" s="110" t="s">
        <v>124</v>
      </c>
      <c r="R134" s="110">
        <v>70</v>
      </c>
      <c r="S134" s="110">
        <v>110</v>
      </c>
      <c r="T134" s="110" t="s">
        <v>441</v>
      </c>
      <c r="AB134" s="110" t="s">
        <v>442</v>
      </c>
      <c r="AC134" s="112">
        <v>2.5</v>
      </c>
      <c r="AD134" s="110" t="s">
        <v>303</v>
      </c>
      <c r="AE134" s="110" t="s">
        <v>395</v>
      </c>
      <c r="AF134" s="110" t="s">
        <v>396</v>
      </c>
      <c r="AG134" s="110" t="s">
        <v>395</v>
      </c>
      <c r="AJ134" s="110" t="s">
        <v>443</v>
      </c>
      <c r="AK134" s="110" t="s">
        <v>398</v>
      </c>
      <c r="AL134" s="110" t="s">
        <v>395</v>
      </c>
      <c r="AM134" s="110">
        <v>0.59</v>
      </c>
      <c r="AN134" s="110" t="s">
        <v>80</v>
      </c>
      <c r="AO134" s="110">
        <v>3</v>
      </c>
    </row>
    <row r="135" spans="2:41" x14ac:dyDescent="0.25">
      <c r="B135" s="110" t="s">
        <v>444</v>
      </c>
      <c r="C135" s="110">
        <v>3</v>
      </c>
      <c r="D135" s="110" t="s">
        <v>303</v>
      </c>
      <c r="E135" s="110">
        <v>30</v>
      </c>
      <c r="F135" s="110" t="s">
        <v>80</v>
      </c>
      <c r="G135" s="110">
        <v>0.034</v>
      </c>
      <c r="H135" s="110">
        <v>0.16</v>
      </c>
      <c r="J135" s="110" t="s">
        <v>445</v>
      </c>
      <c r="M135" s="110" t="s">
        <v>446</v>
      </c>
      <c r="N135" s="110">
        <v>81.5</v>
      </c>
      <c r="O135" s="110">
        <v>750</v>
      </c>
      <c r="P135" s="110">
        <v>26.98</v>
      </c>
      <c r="Q135" s="110" t="s">
        <v>124</v>
      </c>
      <c r="R135" s="110">
        <v>77.9</v>
      </c>
      <c r="S135" s="110">
        <v>150</v>
      </c>
      <c r="T135" s="110" t="s">
        <v>441</v>
      </c>
      <c r="AB135" s="110" t="s">
        <v>447</v>
      </c>
      <c r="AC135" s="112">
        <v>3</v>
      </c>
      <c r="AD135" s="110" t="s">
        <v>303</v>
      </c>
      <c r="AE135" s="110" t="s">
        <v>395</v>
      </c>
      <c r="AF135" s="110" t="s">
        <v>396</v>
      </c>
      <c r="AG135" s="110" t="s">
        <v>395</v>
      </c>
      <c r="AJ135" s="110" t="s">
        <v>448</v>
      </c>
      <c r="AK135" s="110" t="s">
        <v>398</v>
      </c>
      <c r="AL135" s="110" t="s">
        <v>395</v>
      </c>
      <c r="AM135" s="110">
        <v>0.77</v>
      </c>
      <c r="AN135" s="110" t="s">
        <v>80</v>
      </c>
      <c r="AO135" s="110">
        <v>3.7</v>
      </c>
    </row>
    <row r="136" spans="2:41" x14ac:dyDescent="0.25">
      <c r="B136" s="110" t="s">
        <v>449</v>
      </c>
      <c r="C136" s="110">
        <v>4</v>
      </c>
      <c r="D136" s="110" t="s">
        <v>303</v>
      </c>
      <c r="E136" s="110">
        <v>40</v>
      </c>
      <c r="F136" s="110" t="s">
        <v>80</v>
      </c>
      <c r="G136" s="110">
        <v>0.034</v>
      </c>
      <c r="H136" s="110">
        <v>0.16</v>
      </c>
      <c r="J136" s="110" t="s">
        <v>445</v>
      </c>
      <c r="M136" s="110" t="s">
        <v>450</v>
      </c>
      <c r="N136" s="110">
        <v>85</v>
      </c>
      <c r="O136" s="110">
        <v>800</v>
      </c>
      <c r="P136" s="110">
        <v>28.36</v>
      </c>
      <c r="Q136" s="110" t="s">
        <v>124</v>
      </c>
      <c r="R136" s="110">
        <v>81.2</v>
      </c>
      <c r="S136" s="110">
        <v>150</v>
      </c>
      <c r="T136" s="110" t="s">
        <v>441</v>
      </c>
      <c r="AB136" s="110" t="s">
        <v>451</v>
      </c>
      <c r="AC136" s="112">
        <v>4</v>
      </c>
      <c r="AD136" s="110" t="s">
        <v>303</v>
      </c>
      <c r="AE136" s="110" t="s">
        <v>395</v>
      </c>
      <c r="AF136" s="110" t="s">
        <v>396</v>
      </c>
      <c r="AG136" s="110" t="s">
        <v>395</v>
      </c>
      <c r="AJ136" s="110" t="s">
        <v>452</v>
      </c>
      <c r="AK136" s="110" t="s">
        <v>398</v>
      </c>
      <c r="AL136" s="110" t="s">
        <v>395</v>
      </c>
      <c r="AM136" s="110">
        <v>0.952</v>
      </c>
      <c r="AN136" s="110" t="s">
        <v>80</v>
      </c>
      <c r="AO136" s="110">
        <v>5.1</v>
      </c>
    </row>
    <row r="137" spans="2:41" x14ac:dyDescent="0.25">
      <c r="B137" s="110" t="s">
        <v>453</v>
      </c>
      <c r="C137" s="110">
        <v>5</v>
      </c>
      <c r="D137" s="110" t="s">
        <v>303</v>
      </c>
      <c r="E137" s="110">
        <v>50</v>
      </c>
      <c r="F137" s="110" t="s">
        <v>80</v>
      </c>
      <c r="G137" s="110">
        <v>0.034</v>
      </c>
      <c r="H137" s="110">
        <v>0.16</v>
      </c>
      <c r="J137" s="110" t="s">
        <v>445</v>
      </c>
      <c r="M137" s="110" t="s">
        <v>454</v>
      </c>
      <c r="N137" s="110">
        <v>92.9</v>
      </c>
      <c r="O137" s="110">
        <v>850</v>
      </c>
      <c r="P137" s="110">
        <v>29.45</v>
      </c>
      <c r="Q137" s="110" t="s">
        <v>124</v>
      </c>
      <c r="R137" s="110">
        <v>85.2</v>
      </c>
      <c r="S137" s="110">
        <v>150</v>
      </c>
      <c r="T137" s="110" t="s">
        <v>455</v>
      </c>
      <c r="AB137" s="110" t="s">
        <v>456</v>
      </c>
      <c r="AC137" s="112">
        <v>5</v>
      </c>
      <c r="AD137" s="110" t="s">
        <v>303</v>
      </c>
      <c r="AE137" s="110" t="s">
        <v>395</v>
      </c>
      <c r="AF137" s="110" t="s">
        <v>396</v>
      </c>
      <c r="AG137" s="110" t="s">
        <v>395</v>
      </c>
      <c r="AJ137" s="110" t="s">
        <v>457</v>
      </c>
      <c r="AK137" s="110" t="s">
        <v>398</v>
      </c>
      <c r="AL137" s="110" t="s">
        <v>395</v>
      </c>
      <c r="AM137" s="110">
        <v>1.315</v>
      </c>
      <c r="AN137" s="110" t="s">
        <v>80</v>
      </c>
      <c r="AO137" s="110">
        <v>6.1</v>
      </c>
    </row>
    <row r="138" spans="2:41" x14ac:dyDescent="0.25">
      <c r="B138" s="110" t="s">
        <v>458</v>
      </c>
      <c r="C138" s="110">
        <v>6</v>
      </c>
      <c r="D138" s="110" t="s">
        <v>303</v>
      </c>
      <c r="E138" s="110">
        <v>60</v>
      </c>
      <c r="F138" s="110" t="s">
        <v>80</v>
      </c>
      <c r="G138" s="110">
        <v>0.04</v>
      </c>
      <c r="H138" s="110">
        <v>0.19</v>
      </c>
      <c r="J138" s="110" t="s">
        <v>445</v>
      </c>
      <c r="M138" s="110" t="s">
        <v>459</v>
      </c>
      <c r="N138" s="110">
        <v>98.5</v>
      </c>
      <c r="O138" s="110">
        <v>900</v>
      </c>
      <c r="P138" s="110">
        <v>32.16</v>
      </c>
      <c r="Q138" s="110" t="s">
        <v>124</v>
      </c>
      <c r="R138" s="110">
        <v>92.2</v>
      </c>
      <c r="S138" s="110">
        <v>175</v>
      </c>
      <c r="T138" s="110" t="s">
        <v>455</v>
      </c>
      <c r="AB138" s="110" t="s">
        <v>460</v>
      </c>
      <c r="AC138" s="112">
        <v>6</v>
      </c>
      <c r="AD138" s="110" t="s">
        <v>303</v>
      </c>
      <c r="AE138" s="110" t="s">
        <v>395</v>
      </c>
      <c r="AF138" s="110" t="s">
        <v>396</v>
      </c>
      <c r="AG138" s="110" t="s">
        <v>395</v>
      </c>
      <c r="AJ138" s="110" t="s">
        <v>461</v>
      </c>
      <c r="AK138" s="110" t="s">
        <v>398</v>
      </c>
      <c r="AL138" s="110" t="s">
        <v>395</v>
      </c>
      <c r="AM138" s="110">
        <v>1.78</v>
      </c>
      <c r="AN138" s="110" t="s">
        <v>80</v>
      </c>
      <c r="AO138" s="110">
        <v>8.2</v>
      </c>
    </row>
    <row r="139" spans="2:41" x14ac:dyDescent="0.25">
      <c r="B139" s="110" t="s">
        <v>462</v>
      </c>
      <c r="C139" s="110">
        <v>7</v>
      </c>
      <c r="D139" s="110" t="s">
        <v>303</v>
      </c>
      <c r="E139" s="110">
        <v>70</v>
      </c>
      <c r="F139" s="110" t="s">
        <v>80</v>
      </c>
      <c r="G139" s="110">
        <v>0.045</v>
      </c>
      <c r="H139" s="110">
        <v>0.21</v>
      </c>
      <c r="J139" s="110" t="s">
        <v>445</v>
      </c>
      <c r="M139" s="110" t="s">
        <v>463</v>
      </c>
      <c r="N139" s="110">
        <v>103.9</v>
      </c>
      <c r="O139" s="110">
        <v>950</v>
      </c>
      <c r="P139" s="110">
        <v>33.26</v>
      </c>
      <c r="Q139" s="110" t="s">
        <v>124</v>
      </c>
      <c r="R139" s="110">
        <v>96.7</v>
      </c>
      <c r="S139" s="110">
        <v>175</v>
      </c>
      <c r="T139" s="110" t="s">
        <v>464</v>
      </c>
      <c r="AB139" s="110" t="s">
        <v>465</v>
      </c>
      <c r="AC139" s="112">
        <v>7.2</v>
      </c>
      <c r="AD139" s="110" t="s">
        <v>303</v>
      </c>
      <c r="AE139" s="110" t="s">
        <v>395</v>
      </c>
      <c r="AF139" s="110" t="s">
        <v>396</v>
      </c>
      <c r="AG139" s="110" t="s">
        <v>395</v>
      </c>
      <c r="AJ139" s="110" t="s">
        <v>466</v>
      </c>
      <c r="AK139" s="110" t="s">
        <v>398</v>
      </c>
      <c r="AL139" s="110" t="s">
        <v>395</v>
      </c>
      <c r="AM139" s="110">
        <v>2.23</v>
      </c>
      <c r="AN139" s="110" t="s">
        <v>80</v>
      </c>
      <c r="AO139" s="110">
        <v>10.2</v>
      </c>
    </row>
    <row r="140" spans="13:20" x14ac:dyDescent="0.25">
      <c r="M140" s="110" t="s">
        <v>467</v>
      </c>
      <c r="N140" s="110">
        <v>107.4</v>
      </c>
      <c r="O140" s="110">
        <v>1000</v>
      </c>
      <c r="P140" s="110">
        <v>34.64</v>
      </c>
      <c r="Q140" s="110" t="s">
        <v>124</v>
      </c>
      <c r="R140" s="110">
        <v>100</v>
      </c>
      <c r="S140" s="110">
        <v>175</v>
      </c>
      <c r="T140" s="110" t="s">
        <v>464</v>
      </c>
    </row>
    <row r="141" spans="2:20" x14ac:dyDescent="0.25">
      <c r="B141" s="113" t="s">
        <v>468</v>
      </c>
      <c r="C141" s="110"/>
      <c r="D141" s="110"/>
      <c r="E141" s="110"/>
      <c r="F141" s="110"/>
      <c r="M141" s="110" t="s">
        <v>469</v>
      </c>
      <c r="N141" s="110">
        <v>113</v>
      </c>
      <c r="O141" s="110">
        <v>1050</v>
      </c>
      <c r="P141" s="110">
        <v>37.35</v>
      </c>
      <c r="Q141" s="110" t="s">
        <v>124</v>
      </c>
      <c r="R141" s="110">
        <v>107</v>
      </c>
      <c r="S141" s="110">
        <v>175</v>
      </c>
      <c r="T141" s="110" t="s">
        <v>464</v>
      </c>
    </row>
    <row r="142" spans="2:20" x14ac:dyDescent="0.25">
      <c r="B142" s="110" t="s">
        <v>470</v>
      </c>
      <c r="C142" s="110">
        <v>2.5</v>
      </c>
      <c r="D142" s="110" t="s">
        <v>303</v>
      </c>
      <c r="E142" s="110">
        <v>25</v>
      </c>
      <c r="F142" s="110" t="s">
        <v>80</v>
      </c>
      <c r="G142" s="110">
        <v>0.022</v>
      </c>
      <c r="H142" s="110">
        <v>0.12</v>
      </c>
      <c r="J142" s="110" t="s">
        <v>471</v>
      </c>
      <c r="M142" s="110" t="s">
        <v>472</v>
      </c>
      <c r="N142" s="110">
        <v>118.5</v>
      </c>
      <c r="O142" s="110">
        <v>1100</v>
      </c>
      <c r="P142" s="110">
        <v>38.63</v>
      </c>
      <c r="Q142" s="110" t="s">
        <v>124</v>
      </c>
      <c r="R142" s="110">
        <v>110.6</v>
      </c>
      <c r="S142" s="110">
        <v>175</v>
      </c>
      <c r="T142" s="110" t="s">
        <v>473</v>
      </c>
    </row>
    <row r="143" spans="2:20" x14ac:dyDescent="0.25">
      <c r="B143" s="110" t="s">
        <v>474</v>
      </c>
      <c r="C143" s="110">
        <v>4.1</v>
      </c>
      <c r="D143" s="110" t="s">
        <v>303</v>
      </c>
      <c r="E143" s="110">
        <v>41</v>
      </c>
      <c r="F143" s="110" t="s">
        <v>80</v>
      </c>
      <c r="G143" s="110">
        <v>0.035</v>
      </c>
      <c r="H143" s="110">
        <v>0.18</v>
      </c>
      <c r="J143" s="110" t="s">
        <v>471</v>
      </c>
      <c r="M143" s="110" t="s">
        <v>475</v>
      </c>
      <c r="N143" s="110">
        <v>124</v>
      </c>
      <c r="O143" s="110">
        <v>1150</v>
      </c>
      <c r="P143" s="110">
        <v>41.16</v>
      </c>
      <c r="Q143" s="110" t="s">
        <v>124</v>
      </c>
      <c r="R143" s="110">
        <v>118.5</v>
      </c>
      <c r="S143" s="110">
        <v>200</v>
      </c>
      <c r="T143" s="110" t="s">
        <v>473</v>
      </c>
    </row>
    <row r="144" spans="13:20" x14ac:dyDescent="0.25">
      <c r="M144" s="110" t="s">
        <v>476</v>
      </c>
      <c r="N144" s="110">
        <v>127.5</v>
      </c>
      <c r="O144" s="110">
        <v>1200</v>
      </c>
      <c r="P144" s="110">
        <v>42.54</v>
      </c>
      <c r="Q144" s="110" t="s">
        <v>124</v>
      </c>
      <c r="R144" s="110">
        <v>121.8</v>
      </c>
      <c r="S144" s="110">
        <v>200</v>
      </c>
      <c r="T144" s="110" t="s">
        <v>473</v>
      </c>
    </row>
    <row r="145" spans="2:6" x14ac:dyDescent="0.25">
      <c r="B145" s="113" t="s">
        <v>477</v>
      </c>
      <c r="C145" s="110"/>
      <c r="D145" s="110"/>
      <c r="E145" s="110"/>
      <c r="F145" s="110"/>
    </row>
    <row r="146" spans="2:18" x14ac:dyDescent="0.25">
      <c r="B146" s="110" t="s">
        <v>478</v>
      </c>
      <c r="C146" s="110">
        <v>16</v>
      </c>
      <c r="D146" s="110" t="s">
        <v>479</v>
      </c>
      <c r="E146" s="110">
        <v>150</v>
      </c>
      <c r="F146" s="110" t="s">
        <v>480</v>
      </c>
      <c r="G146" s="110" t="s">
        <v>395</v>
      </c>
      <c r="H146" s="110" t="s">
        <v>395</v>
      </c>
      <c r="I146" s="110" t="s">
        <v>395</v>
      </c>
      <c r="J146" s="110" t="s">
        <v>395</v>
      </c>
      <c r="M146" s="113" t="s">
        <v>481</v>
      </c>
      <c r="N146" s="110"/>
      <c r="O146" s="110"/>
      <c r="P146" s="110"/>
      <c r="Q146" s="110"/>
      <c r="R146" s="110"/>
    </row>
    <row r="147" spans="2:20" x14ac:dyDescent="0.25">
      <c r="B147" s="110" t="s">
        <v>482</v>
      </c>
      <c r="C147" s="110">
        <v>22.5</v>
      </c>
      <c r="D147" s="110" t="s">
        <v>479</v>
      </c>
      <c r="E147" s="110">
        <v>200</v>
      </c>
      <c r="F147" s="110" t="s">
        <v>480</v>
      </c>
      <c r="G147" s="110" t="s">
        <v>395</v>
      </c>
      <c r="H147" s="110" t="s">
        <v>395</v>
      </c>
      <c r="I147" s="110" t="s">
        <v>395</v>
      </c>
      <c r="J147" s="110" t="s">
        <v>395</v>
      </c>
      <c r="M147" s="110" t="s">
        <v>483</v>
      </c>
      <c r="N147" s="110">
        <v>55.9</v>
      </c>
      <c r="O147" s="110">
        <v>500</v>
      </c>
      <c r="P147" s="110">
        <v>16.55</v>
      </c>
      <c r="Q147" s="110" t="s">
        <v>124</v>
      </c>
      <c r="R147" s="110">
        <v>48.2</v>
      </c>
      <c r="S147" s="110">
        <v>90</v>
      </c>
      <c r="T147" s="110" t="s">
        <v>430</v>
      </c>
    </row>
    <row r="148" spans="2:20" x14ac:dyDescent="0.25">
      <c r="B148" s="110" t="s">
        <v>484</v>
      </c>
      <c r="C148" s="110">
        <v>26.9</v>
      </c>
      <c r="D148" s="110" t="s">
        <v>479</v>
      </c>
      <c r="E148" s="110">
        <v>250</v>
      </c>
      <c r="F148" s="110" t="s">
        <v>480</v>
      </c>
      <c r="G148" s="110" t="s">
        <v>395</v>
      </c>
      <c r="H148" s="110" t="s">
        <v>395</v>
      </c>
      <c r="I148" s="110" t="s">
        <v>395</v>
      </c>
      <c r="J148" s="110" t="s">
        <v>395</v>
      </c>
      <c r="M148" s="110" t="s">
        <v>485</v>
      </c>
      <c r="N148" s="110">
        <v>67.2</v>
      </c>
      <c r="O148" s="110">
        <v>600</v>
      </c>
      <c r="P148" s="110">
        <v>18.84</v>
      </c>
      <c r="Q148" s="110" t="s">
        <v>124</v>
      </c>
      <c r="R148" s="110">
        <v>56.4</v>
      </c>
      <c r="S148" s="110">
        <v>110</v>
      </c>
      <c r="T148" s="110" t="s">
        <v>486</v>
      </c>
    </row>
    <row r="149" spans="2:20" x14ac:dyDescent="0.25">
      <c r="B149" s="110" t="s">
        <v>487</v>
      </c>
      <c r="C149" s="110">
        <v>45.1</v>
      </c>
      <c r="D149" s="110" t="s">
        <v>479</v>
      </c>
      <c r="E149" s="110">
        <v>400</v>
      </c>
      <c r="F149" s="110" t="s">
        <v>480</v>
      </c>
      <c r="G149" s="110" t="s">
        <v>395</v>
      </c>
      <c r="H149" s="110" t="s">
        <v>395</v>
      </c>
      <c r="I149" s="110" t="s">
        <v>395</v>
      </c>
      <c r="J149" s="110" t="s">
        <v>395</v>
      </c>
      <c r="M149" s="110" t="s">
        <v>488</v>
      </c>
      <c r="N149" s="110">
        <v>72.8</v>
      </c>
      <c r="O149" s="110">
        <v>650</v>
      </c>
      <c r="P149" s="110">
        <v>21.55</v>
      </c>
      <c r="Q149" s="110" t="s">
        <v>124</v>
      </c>
      <c r="R149" s="110">
        <v>63.4</v>
      </c>
      <c r="S149" s="110">
        <v>150</v>
      </c>
      <c r="T149" s="110" t="s">
        <v>486</v>
      </c>
    </row>
    <row r="150" spans="2:20" x14ac:dyDescent="0.25">
      <c r="B150" s="110" t="s">
        <v>489</v>
      </c>
      <c r="C150" s="110">
        <v>56.7</v>
      </c>
      <c r="D150" s="110" t="s">
        <v>479</v>
      </c>
      <c r="E150" s="110">
        <v>500</v>
      </c>
      <c r="F150" s="110" t="s">
        <v>480</v>
      </c>
      <c r="G150" s="110" t="s">
        <v>395</v>
      </c>
      <c r="H150" s="110" t="s">
        <v>395</v>
      </c>
      <c r="I150" s="110" t="s">
        <v>395</v>
      </c>
      <c r="J150" s="110" t="s">
        <v>395</v>
      </c>
      <c r="M150" s="110" t="s">
        <v>490</v>
      </c>
      <c r="N150" s="110">
        <v>78.3</v>
      </c>
      <c r="O150" s="110">
        <v>700</v>
      </c>
      <c r="P150" s="110">
        <v>22.83</v>
      </c>
      <c r="Q150" s="110" t="s">
        <v>124</v>
      </c>
      <c r="R150" s="110">
        <v>67</v>
      </c>
      <c r="S150" s="110">
        <v>150</v>
      </c>
      <c r="T150" s="110" t="s">
        <v>455</v>
      </c>
    </row>
    <row r="151" spans="2:20" x14ac:dyDescent="0.25">
      <c r="B151" s="110" t="s">
        <v>491</v>
      </c>
      <c r="C151" s="110">
        <v>88.5</v>
      </c>
      <c r="D151" s="110" t="s">
        <v>479</v>
      </c>
      <c r="E151" s="110">
        <v>800</v>
      </c>
      <c r="F151" s="110" t="s">
        <v>480</v>
      </c>
      <c r="G151" s="110" t="s">
        <v>395</v>
      </c>
      <c r="H151" s="110" t="s">
        <v>395</v>
      </c>
      <c r="I151" s="110" t="s">
        <v>395</v>
      </c>
      <c r="J151" s="110" t="s">
        <v>395</v>
      </c>
      <c r="M151" s="110" t="s">
        <v>492</v>
      </c>
      <c r="N151" s="110">
        <v>83.8</v>
      </c>
      <c r="O151" s="110">
        <v>750</v>
      </c>
      <c r="P151" s="110">
        <v>25.36</v>
      </c>
      <c r="Q151" s="110" t="s">
        <v>124</v>
      </c>
      <c r="R151" s="110">
        <v>74.9</v>
      </c>
      <c r="S151" s="110">
        <v>150</v>
      </c>
      <c r="T151" s="110" t="s">
        <v>455</v>
      </c>
    </row>
    <row r="152" spans="2:20" x14ac:dyDescent="0.25">
      <c r="B152" s="110" t="s">
        <v>493</v>
      </c>
      <c r="C152" s="110">
        <v>111.9</v>
      </c>
      <c r="D152" s="110" t="s">
        <v>479</v>
      </c>
      <c r="E152" s="110">
        <v>1000</v>
      </c>
      <c r="F152" s="110" t="s">
        <v>480</v>
      </c>
      <c r="G152" s="110" t="s">
        <v>395</v>
      </c>
      <c r="H152" s="110" t="s">
        <v>395</v>
      </c>
      <c r="I152" s="110" t="s">
        <v>395</v>
      </c>
      <c r="J152" s="110" t="s">
        <v>395</v>
      </c>
      <c r="M152" s="110" t="s">
        <v>494</v>
      </c>
      <c r="N152" s="110">
        <v>89.4</v>
      </c>
      <c r="O152" s="110">
        <v>800</v>
      </c>
      <c r="P152" s="110">
        <v>26.82</v>
      </c>
      <c r="Q152" s="110" t="s">
        <v>124</v>
      </c>
      <c r="R152" s="110">
        <v>77.6</v>
      </c>
      <c r="S152" s="110">
        <v>150</v>
      </c>
      <c r="T152" s="110" t="s">
        <v>464</v>
      </c>
    </row>
    <row r="153" spans="2:20" x14ac:dyDescent="0.25">
      <c r="B153" s="110" t="s">
        <v>495</v>
      </c>
      <c r="C153" s="110">
        <v>136.6</v>
      </c>
      <c r="D153" s="110" t="s">
        <v>479</v>
      </c>
      <c r="E153" s="110">
        <v>1200</v>
      </c>
      <c r="F153" s="110" t="s">
        <v>480</v>
      </c>
      <c r="G153" s="110" t="s">
        <v>395</v>
      </c>
      <c r="H153" s="110" t="s">
        <v>395</v>
      </c>
      <c r="I153" s="110" t="s">
        <v>395</v>
      </c>
      <c r="J153" s="110" t="s">
        <v>395</v>
      </c>
      <c r="M153" s="110" t="s">
        <v>496</v>
      </c>
      <c r="N153" s="110">
        <v>97.9</v>
      </c>
      <c r="O153" s="110">
        <v>850</v>
      </c>
      <c r="P153" s="110">
        <v>29.35</v>
      </c>
      <c r="Q153" s="110" t="s">
        <v>124</v>
      </c>
      <c r="R153" s="110">
        <v>85.5</v>
      </c>
      <c r="S153" s="110">
        <v>150</v>
      </c>
      <c r="T153" s="110" t="s">
        <v>464</v>
      </c>
    </row>
    <row r="154" spans="2:20" x14ac:dyDescent="0.25">
      <c r="B154" s="110" t="s">
        <v>497</v>
      </c>
      <c r="C154" s="110">
        <v>169.3</v>
      </c>
      <c r="D154" s="110" t="s">
        <v>479</v>
      </c>
      <c r="E154" s="110">
        <v>1500</v>
      </c>
      <c r="F154" s="110" t="s">
        <v>480</v>
      </c>
      <c r="G154" s="110" t="s">
        <v>395</v>
      </c>
      <c r="H154" s="110" t="s">
        <v>395</v>
      </c>
      <c r="I154" s="110" t="s">
        <v>395</v>
      </c>
      <c r="J154" s="110" t="s">
        <v>395</v>
      </c>
      <c r="M154" s="110" t="s">
        <v>498</v>
      </c>
      <c r="N154" s="110">
        <v>100.5</v>
      </c>
      <c r="O154" s="110">
        <v>900</v>
      </c>
      <c r="P154" s="110">
        <v>30.81</v>
      </c>
      <c r="Q154" s="110" t="s">
        <v>124</v>
      </c>
      <c r="R154" s="110">
        <v>88.2</v>
      </c>
      <c r="S154" s="110">
        <v>150</v>
      </c>
      <c r="T154" s="110" t="s">
        <v>473</v>
      </c>
    </row>
    <row r="155" spans="2:20" x14ac:dyDescent="0.25">
      <c r="B155" s="110" t="s">
        <v>499</v>
      </c>
      <c r="C155" s="110">
        <v>223.6</v>
      </c>
      <c r="D155" s="110" t="s">
        <v>479</v>
      </c>
      <c r="E155" s="110">
        <v>2000</v>
      </c>
      <c r="F155" s="110" t="s">
        <v>480</v>
      </c>
      <c r="G155" s="110" t="s">
        <v>395</v>
      </c>
      <c r="H155" s="110" t="s">
        <v>395</v>
      </c>
      <c r="I155" s="110" t="s">
        <v>395</v>
      </c>
      <c r="J155" s="110" t="s">
        <v>395</v>
      </c>
      <c r="M155" s="110" t="s">
        <v>500</v>
      </c>
      <c r="N155" s="110">
        <v>106</v>
      </c>
      <c r="O155" s="110">
        <v>950</v>
      </c>
      <c r="P155" s="110">
        <v>33.34</v>
      </c>
      <c r="Q155" s="110" t="s">
        <v>124</v>
      </c>
      <c r="R155" s="110">
        <v>96.1</v>
      </c>
      <c r="S155" s="110">
        <v>175</v>
      </c>
      <c r="T155" s="110" t="s">
        <v>473</v>
      </c>
    </row>
    <row r="156" spans="2:20" x14ac:dyDescent="0.25">
      <c r="B156" s="110" t="s">
        <v>501</v>
      </c>
      <c r="C156" s="110">
        <v>288.5</v>
      </c>
      <c r="D156" s="110" t="s">
        <v>479</v>
      </c>
      <c r="E156" s="110">
        <v>2500</v>
      </c>
      <c r="F156" s="110" t="s">
        <v>480</v>
      </c>
      <c r="G156" s="110" t="s">
        <v>395</v>
      </c>
      <c r="H156" s="110" t="s">
        <v>395</v>
      </c>
      <c r="I156" s="110" t="s">
        <v>395</v>
      </c>
      <c r="J156" s="110" t="s">
        <v>395</v>
      </c>
      <c r="M156" s="110" t="s">
        <v>502</v>
      </c>
      <c r="N156" s="110">
        <v>109.5</v>
      </c>
      <c r="O156" s="110">
        <v>1000</v>
      </c>
      <c r="P156" s="110">
        <v>34.72</v>
      </c>
      <c r="Q156" s="110" t="s">
        <v>124</v>
      </c>
      <c r="R156" s="110">
        <v>99.4</v>
      </c>
      <c r="S156" s="110">
        <v>175</v>
      </c>
      <c r="T156" s="110" t="s">
        <v>473</v>
      </c>
    </row>
    <row r="157" spans="2:20" x14ac:dyDescent="0.25">
      <c r="B157" s="110" t="s">
        <v>503</v>
      </c>
      <c r="C157" s="110">
        <v>337.2</v>
      </c>
      <c r="D157" s="110" t="s">
        <v>479</v>
      </c>
      <c r="E157" s="110">
        <v>3000</v>
      </c>
      <c r="F157" s="110" t="s">
        <v>480</v>
      </c>
      <c r="G157" s="110" t="s">
        <v>395</v>
      </c>
      <c r="H157" s="110" t="s">
        <v>395</v>
      </c>
      <c r="I157" s="110" t="s">
        <v>395</v>
      </c>
      <c r="J157" s="110" t="s">
        <v>395</v>
      </c>
      <c r="M157" s="110" t="s">
        <v>504</v>
      </c>
      <c r="N157" s="110">
        <v>115</v>
      </c>
      <c r="O157" s="110">
        <v>1050</v>
      </c>
      <c r="P157" s="110">
        <v>37.25</v>
      </c>
      <c r="Q157" s="110" t="s">
        <v>124</v>
      </c>
      <c r="R157" s="110">
        <v>107.3</v>
      </c>
      <c r="S157" s="110">
        <v>175</v>
      </c>
      <c r="T157" s="110" t="s">
        <v>473</v>
      </c>
    </row>
    <row r="159" spans="2:13" x14ac:dyDescent="0.25">
      <c r="B159" s="124" t="s">
        <v>505</v>
      </c>
      <c r="M159" s="124" t="s">
        <v>506</v>
      </c>
    </row>
    <row r="160" spans="2:20" x14ac:dyDescent="0.25">
      <c r="B160" s="123" t="s">
        <v>507</v>
      </c>
      <c r="C160" s="112"/>
      <c r="D160" s="110"/>
      <c r="E160" s="110"/>
      <c r="F160" s="110"/>
      <c r="G160" s="110"/>
      <c r="H160" s="110"/>
      <c r="M160" s="123" t="s">
        <v>507</v>
      </c>
      <c r="N160" s="110"/>
      <c r="O160" s="110"/>
      <c r="P160" s="110"/>
      <c r="Q160" s="110"/>
      <c r="R160" s="110"/>
      <c r="S160" s="103"/>
      <c r="T160" s="103"/>
    </row>
    <row r="161" spans="2:20" x14ac:dyDescent="0.25">
      <c r="B161" s="110" t="s">
        <v>508</v>
      </c>
      <c r="C161" s="112">
        <v>2.2</v>
      </c>
      <c r="D161" s="110" t="s">
        <v>303</v>
      </c>
      <c r="E161" s="110" t="s">
        <v>395</v>
      </c>
      <c r="F161" s="110" t="s">
        <v>396</v>
      </c>
      <c r="G161" s="110" t="s">
        <v>395</v>
      </c>
      <c r="H161" s="110" t="s">
        <v>395</v>
      </c>
      <c r="J161" s="110" t="s">
        <v>509</v>
      </c>
      <c r="M161" s="110" t="s">
        <v>510</v>
      </c>
      <c r="N161" s="110" t="s">
        <v>398</v>
      </c>
      <c r="O161" s="110" t="s">
        <v>395</v>
      </c>
      <c r="P161" s="110">
        <v>0.44</v>
      </c>
      <c r="Q161" s="110" t="s">
        <v>80</v>
      </c>
      <c r="R161" s="110">
        <v>2.2</v>
      </c>
      <c r="S161" s="110">
        <v>10</v>
      </c>
      <c r="T161" s="110" t="s">
        <v>511</v>
      </c>
    </row>
    <row r="162" spans="2:20" x14ac:dyDescent="0.25">
      <c r="B162" s="110" t="s">
        <v>512</v>
      </c>
      <c r="C162" s="112">
        <v>2.8</v>
      </c>
      <c r="D162" s="110" t="s">
        <v>303</v>
      </c>
      <c r="E162" s="110" t="s">
        <v>395</v>
      </c>
      <c r="F162" s="110" t="s">
        <v>396</v>
      </c>
      <c r="G162" s="110" t="s">
        <v>395</v>
      </c>
      <c r="H162" s="110" t="s">
        <v>395</v>
      </c>
      <c r="J162" s="110" t="s">
        <v>509</v>
      </c>
      <c r="M162" s="110" t="s">
        <v>513</v>
      </c>
      <c r="N162" s="110" t="s">
        <v>398</v>
      </c>
      <c r="O162" s="110" t="s">
        <v>395</v>
      </c>
      <c r="P162" s="110">
        <v>0.6</v>
      </c>
      <c r="Q162" s="110" t="s">
        <v>80</v>
      </c>
      <c r="R162" s="110">
        <v>2.9</v>
      </c>
      <c r="S162" s="110">
        <v>10</v>
      </c>
      <c r="T162" s="110" t="s">
        <v>511</v>
      </c>
    </row>
    <row r="163" spans="2:20" x14ac:dyDescent="0.25">
      <c r="B163" s="110" t="s">
        <v>514</v>
      </c>
      <c r="C163" s="112">
        <v>3.5</v>
      </c>
      <c r="D163" s="110" t="s">
        <v>303</v>
      </c>
      <c r="E163" s="110" t="s">
        <v>395</v>
      </c>
      <c r="F163" s="110" t="s">
        <v>396</v>
      </c>
      <c r="G163" s="110" t="s">
        <v>395</v>
      </c>
      <c r="H163" s="110" t="s">
        <v>395</v>
      </c>
      <c r="J163" s="110" t="s">
        <v>509</v>
      </c>
      <c r="M163" s="110" t="s">
        <v>515</v>
      </c>
      <c r="N163" s="110" t="s">
        <v>398</v>
      </c>
      <c r="O163" s="110" t="s">
        <v>395</v>
      </c>
      <c r="P163" s="110">
        <v>0.78</v>
      </c>
      <c r="Q163" s="110" t="s">
        <v>80</v>
      </c>
      <c r="R163" s="110">
        <v>3.8</v>
      </c>
      <c r="S163" s="110">
        <v>10</v>
      </c>
      <c r="T163" s="110" t="s">
        <v>516</v>
      </c>
    </row>
    <row r="164" spans="2:20" x14ac:dyDescent="0.25">
      <c r="B164" s="110" t="s">
        <v>517</v>
      </c>
      <c r="C164" s="112">
        <v>4.1</v>
      </c>
      <c r="D164" s="110" t="s">
        <v>303</v>
      </c>
      <c r="E164" s="110" t="s">
        <v>395</v>
      </c>
      <c r="F164" s="110" t="s">
        <v>396</v>
      </c>
      <c r="G164" s="110" t="s">
        <v>395</v>
      </c>
      <c r="H164" s="110" t="s">
        <v>395</v>
      </c>
      <c r="J164" s="110" t="s">
        <v>518</v>
      </c>
      <c r="M164" s="110" t="s">
        <v>519</v>
      </c>
      <c r="N164" s="110" t="s">
        <v>398</v>
      </c>
      <c r="O164" s="110" t="s">
        <v>395</v>
      </c>
      <c r="P164" s="110">
        <v>0.995</v>
      </c>
      <c r="Q164" s="110" t="s">
        <v>80</v>
      </c>
      <c r="R164" s="110">
        <v>4.7</v>
      </c>
      <c r="S164" s="110">
        <v>15</v>
      </c>
      <c r="T164" s="110" t="s">
        <v>516</v>
      </c>
    </row>
    <row r="165" spans="2:20" x14ac:dyDescent="0.25">
      <c r="B165" s="110" t="s">
        <v>520</v>
      </c>
      <c r="C165" s="112">
        <v>5</v>
      </c>
      <c r="D165" s="110" t="s">
        <v>303</v>
      </c>
      <c r="E165" s="110" t="s">
        <v>395</v>
      </c>
      <c r="F165" s="110" t="s">
        <v>396</v>
      </c>
      <c r="G165" s="110" t="s">
        <v>395</v>
      </c>
      <c r="H165" s="110" t="s">
        <v>395</v>
      </c>
      <c r="J165" s="110" t="s">
        <v>518</v>
      </c>
      <c r="M165" s="110" t="s">
        <v>521</v>
      </c>
      <c r="N165" s="110" t="s">
        <v>398</v>
      </c>
      <c r="O165" s="110" t="s">
        <v>395</v>
      </c>
      <c r="P165" s="110">
        <v>1.37</v>
      </c>
      <c r="Q165" s="110" t="s">
        <v>80</v>
      </c>
      <c r="R165" s="110">
        <v>6.3</v>
      </c>
      <c r="S165" s="110">
        <v>15</v>
      </c>
      <c r="T165" s="110" t="s">
        <v>516</v>
      </c>
    </row>
    <row r="166" spans="2:20" x14ac:dyDescent="0.25">
      <c r="B166" s="110" t="s">
        <v>522</v>
      </c>
      <c r="C166" s="112">
        <v>6</v>
      </c>
      <c r="D166" s="110" t="s">
        <v>303</v>
      </c>
      <c r="E166" s="110" t="s">
        <v>395</v>
      </c>
      <c r="F166" s="110" t="s">
        <v>396</v>
      </c>
      <c r="G166" s="110" t="s">
        <v>395</v>
      </c>
      <c r="H166" s="110" t="s">
        <v>395</v>
      </c>
      <c r="J166" s="110" t="s">
        <v>523</v>
      </c>
      <c r="M166" s="110" t="s">
        <v>524</v>
      </c>
      <c r="N166" s="110" t="s">
        <v>398</v>
      </c>
      <c r="O166" s="110" t="s">
        <v>395</v>
      </c>
      <c r="P166" s="110">
        <v>1.58</v>
      </c>
      <c r="Q166" s="110" t="s">
        <v>80</v>
      </c>
      <c r="R166" s="110">
        <v>7.5</v>
      </c>
      <c r="S166" s="110">
        <v>15</v>
      </c>
      <c r="T166" s="110" t="s">
        <v>525</v>
      </c>
    </row>
    <row r="167" spans="2:20" x14ac:dyDescent="0.25">
      <c r="B167" s="110" t="s">
        <v>526</v>
      </c>
      <c r="C167" s="112">
        <v>7.2</v>
      </c>
      <c r="D167" s="110" t="s">
        <v>303</v>
      </c>
      <c r="E167" s="110" t="s">
        <v>395</v>
      </c>
      <c r="F167" s="110" t="s">
        <v>396</v>
      </c>
      <c r="G167" s="110" t="s">
        <v>395</v>
      </c>
      <c r="H167" s="110" t="s">
        <v>395</v>
      </c>
      <c r="J167" s="110" t="s">
        <v>523</v>
      </c>
      <c r="M167" s="110" t="s">
        <v>527</v>
      </c>
      <c r="N167" s="110" t="s">
        <v>398</v>
      </c>
      <c r="O167" s="110" t="s">
        <v>395</v>
      </c>
      <c r="P167" s="110">
        <v>2.09</v>
      </c>
      <c r="Q167" s="110" t="s">
        <v>80</v>
      </c>
      <c r="R167" s="110">
        <v>9.8</v>
      </c>
      <c r="S167" s="110">
        <v>15</v>
      </c>
      <c r="T167" s="110" t="s">
        <v>525</v>
      </c>
    </row>
    <row r="168" spans="2:20" x14ac:dyDescent="0.25">
      <c r="B168" s="110" t="s">
        <v>528</v>
      </c>
      <c r="C168" s="112">
        <v>8</v>
      </c>
      <c r="D168" s="110" t="s">
        <v>303</v>
      </c>
      <c r="E168" s="110" t="s">
        <v>395</v>
      </c>
      <c r="F168" s="110" t="s">
        <v>396</v>
      </c>
      <c r="G168" s="110" t="s">
        <v>395</v>
      </c>
      <c r="H168" s="110" t="s">
        <v>395</v>
      </c>
      <c r="J168" s="110" t="s">
        <v>529</v>
      </c>
      <c r="M168" s="110" t="s">
        <v>530</v>
      </c>
      <c r="N168" s="110" t="s">
        <v>398</v>
      </c>
      <c r="O168" s="110" t="s">
        <v>395</v>
      </c>
      <c r="P168" s="110">
        <v>2.12</v>
      </c>
      <c r="Q168" s="110" t="s">
        <v>80</v>
      </c>
      <c r="R168" s="110">
        <v>10</v>
      </c>
      <c r="S168" s="110">
        <v>20</v>
      </c>
      <c r="T168" s="110" t="s">
        <v>86</v>
      </c>
    </row>
    <row r="169" spans="2:20" x14ac:dyDescent="0.25">
      <c r="B169" s="110" t="s">
        <v>531</v>
      </c>
      <c r="C169" s="112">
        <v>8.7</v>
      </c>
      <c r="D169" s="110" t="s">
        <v>303</v>
      </c>
      <c r="E169" s="110" t="s">
        <v>395</v>
      </c>
      <c r="F169" s="110" t="s">
        <v>396</v>
      </c>
      <c r="G169" s="110" t="s">
        <v>395</v>
      </c>
      <c r="H169" s="110" t="s">
        <v>395</v>
      </c>
      <c r="J169" s="110" t="s">
        <v>529</v>
      </c>
      <c r="M169" s="110" t="s">
        <v>532</v>
      </c>
      <c r="N169" s="110" t="s">
        <v>398</v>
      </c>
      <c r="O169" s="110" t="s">
        <v>395</v>
      </c>
      <c r="P169" s="110">
        <v>2.4</v>
      </c>
      <c r="Q169" s="110" t="s">
        <v>80</v>
      </c>
      <c r="R169" s="110">
        <v>11.3</v>
      </c>
      <c r="S169" s="110">
        <v>20</v>
      </c>
      <c r="T169" s="110" t="s">
        <v>86</v>
      </c>
    </row>
    <row r="170" spans="2:4" x14ac:dyDescent="0.25">
      <c r="B170" s="103"/>
      <c r="C170" s="125"/>
      <c r="D170" s="103"/>
    </row>
    <row r="171" spans="2:20" x14ac:dyDescent="0.25">
      <c r="B171" s="123" t="s">
        <v>533</v>
      </c>
      <c r="C171" s="126"/>
      <c r="D171" s="126"/>
      <c r="E171" s="126"/>
      <c r="F171" s="126"/>
      <c r="G171" s="126"/>
      <c r="H171" s="126"/>
      <c r="M171" s="123" t="s">
        <v>533</v>
      </c>
      <c r="N171" s="126"/>
      <c r="O171" s="126"/>
      <c r="P171" s="126"/>
      <c r="Q171" s="126"/>
      <c r="R171" s="126"/>
      <c r="S171" s="104"/>
      <c r="T171" s="104"/>
    </row>
    <row r="172" spans="2:20" x14ac:dyDescent="0.25">
      <c r="B172" s="110" t="s">
        <v>534</v>
      </c>
      <c r="C172" s="112">
        <v>2.2</v>
      </c>
      <c r="D172" s="110" t="s">
        <v>303</v>
      </c>
      <c r="E172" s="110" t="s">
        <v>395</v>
      </c>
      <c r="F172" s="110" t="s">
        <v>396</v>
      </c>
      <c r="G172" s="110" t="s">
        <v>395</v>
      </c>
      <c r="H172" s="110" t="s">
        <v>395</v>
      </c>
      <c r="J172" s="110" t="s">
        <v>518</v>
      </c>
      <c r="M172" s="110" t="s">
        <v>535</v>
      </c>
      <c r="N172" s="110" t="s">
        <v>398</v>
      </c>
      <c r="O172" s="110" t="s">
        <v>395</v>
      </c>
      <c r="P172" s="110">
        <v>0.36</v>
      </c>
      <c r="Q172" s="110" t="s">
        <v>80</v>
      </c>
      <c r="R172" s="110">
        <v>2.3</v>
      </c>
      <c r="S172" s="110">
        <v>10</v>
      </c>
      <c r="T172" s="110" t="s">
        <v>516</v>
      </c>
    </row>
    <row r="173" spans="2:20" x14ac:dyDescent="0.25">
      <c r="B173" s="110" t="s">
        <v>536</v>
      </c>
      <c r="C173" s="112">
        <v>2.8</v>
      </c>
      <c r="D173" s="110" t="s">
        <v>303</v>
      </c>
      <c r="E173" s="110" t="s">
        <v>395</v>
      </c>
      <c r="F173" s="110" t="s">
        <v>396</v>
      </c>
      <c r="G173" s="110" t="s">
        <v>395</v>
      </c>
      <c r="H173" s="110" t="s">
        <v>395</v>
      </c>
      <c r="J173" s="110" t="s">
        <v>518</v>
      </c>
      <c r="M173" s="110" t="s">
        <v>537</v>
      </c>
      <c r="N173" s="110" t="s">
        <v>398</v>
      </c>
      <c r="O173" s="110" t="s">
        <v>395</v>
      </c>
      <c r="P173" s="110">
        <v>0.496</v>
      </c>
      <c r="Q173" s="110" t="s">
        <v>80</v>
      </c>
      <c r="R173" s="110">
        <v>2.5</v>
      </c>
      <c r="S173" s="110">
        <v>10</v>
      </c>
      <c r="T173" s="110" t="s">
        <v>516</v>
      </c>
    </row>
    <row r="174" spans="2:20" x14ac:dyDescent="0.25">
      <c r="B174" s="110" t="s">
        <v>538</v>
      </c>
      <c r="C174" s="112">
        <v>3.5</v>
      </c>
      <c r="D174" s="110" t="s">
        <v>303</v>
      </c>
      <c r="E174" s="110" t="s">
        <v>395</v>
      </c>
      <c r="F174" s="110" t="s">
        <v>396</v>
      </c>
      <c r="G174" s="110" t="s">
        <v>395</v>
      </c>
      <c r="H174" s="110" t="s">
        <v>395</v>
      </c>
      <c r="J174" s="110" t="s">
        <v>518</v>
      </c>
      <c r="M174" s="110" t="s">
        <v>539</v>
      </c>
      <c r="N174" s="110" t="s">
        <v>398</v>
      </c>
      <c r="O174" s="110" t="s">
        <v>395</v>
      </c>
      <c r="P174" s="110">
        <v>0.734</v>
      </c>
      <c r="Q174" s="110" t="s">
        <v>80</v>
      </c>
      <c r="R174" s="110">
        <v>3.5</v>
      </c>
      <c r="S174" s="110">
        <v>10</v>
      </c>
      <c r="T174" s="110" t="s">
        <v>516</v>
      </c>
    </row>
    <row r="175" spans="2:20" x14ac:dyDescent="0.25">
      <c r="B175" s="110" t="s">
        <v>540</v>
      </c>
      <c r="C175" s="112">
        <v>4.1</v>
      </c>
      <c r="D175" s="110" t="s">
        <v>303</v>
      </c>
      <c r="E175" s="110" t="s">
        <v>395</v>
      </c>
      <c r="F175" s="110" t="s">
        <v>396</v>
      </c>
      <c r="G175" s="110" t="s">
        <v>395</v>
      </c>
      <c r="H175" s="110" t="s">
        <v>395</v>
      </c>
      <c r="J175" s="110" t="s">
        <v>523</v>
      </c>
      <c r="M175" s="110" t="s">
        <v>541</v>
      </c>
      <c r="N175" s="110" t="s">
        <v>398</v>
      </c>
      <c r="O175" s="110" t="s">
        <v>395</v>
      </c>
      <c r="P175" s="110">
        <v>0.85</v>
      </c>
      <c r="Q175" s="110" t="s">
        <v>80</v>
      </c>
      <c r="R175" s="110">
        <v>4.1</v>
      </c>
      <c r="S175" s="110">
        <v>16</v>
      </c>
      <c r="T175" s="110" t="s">
        <v>516</v>
      </c>
    </row>
    <row r="176" spans="2:20" x14ac:dyDescent="0.25">
      <c r="B176" s="110" t="s">
        <v>542</v>
      </c>
      <c r="C176" s="112">
        <v>5</v>
      </c>
      <c r="D176" s="110" t="s">
        <v>303</v>
      </c>
      <c r="E176" s="110" t="s">
        <v>395</v>
      </c>
      <c r="F176" s="110" t="s">
        <v>396</v>
      </c>
      <c r="G176" s="110" t="s">
        <v>395</v>
      </c>
      <c r="H176" s="110" t="s">
        <v>395</v>
      </c>
      <c r="J176" s="110" t="s">
        <v>523</v>
      </c>
      <c r="M176" s="110" t="s">
        <v>543</v>
      </c>
      <c r="N176" s="110" t="s">
        <v>398</v>
      </c>
      <c r="O176" s="110" t="s">
        <v>395</v>
      </c>
      <c r="P176" s="110">
        <v>1.04</v>
      </c>
      <c r="Q176" s="110" t="s">
        <v>80</v>
      </c>
      <c r="R176" s="110">
        <v>5</v>
      </c>
      <c r="S176" s="110">
        <v>16</v>
      </c>
      <c r="T176" s="110" t="s">
        <v>525</v>
      </c>
    </row>
    <row r="177" spans="2:20" x14ac:dyDescent="0.25">
      <c r="B177" s="110" t="s">
        <v>544</v>
      </c>
      <c r="C177" s="112">
        <v>6.3</v>
      </c>
      <c r="D177" s="110" t="s">
        <v>303</v>
      </c>
      <c r="E177" s="110" t="s">
        <v>395</v>
      </c>
      <c r="F177" s="110" t="s">
        <v>396</v>
      </c>
      <c r="G177" s="110" t="s">
        <v>395</v>
      </c>
      <c r="H177" s="110" t="s">
        <v>395</v>
      </c>
      <c r="J177" s="110" t="s">
        <v>523</v>
      </c>
      <c r="M177" s="110" t="s">
        <v>545</v>
      </c>
      <c r="N177" s="110" t="s">
        <v>398</v>
      </c>
      <c r="O177" s="110" t="s">
        <v>395</v>
      </c>
      <c r="P177" s="110">
        <v>1.53</v>
      </c>
      <c r="Q177" s="110" t="s">
        <v>80</v>
      </c>
      <c r="R177" s="110">
        <v>7.3</v>
      </c>
      <c r="S177" s="110">
        <v>16</v>
      </c>
      <c r="T177" s="110" t="s">
        <v>525</v>
      </c>
    </row>
    <row r="178" spans="2:20" x14ac:dyDescent="0.25">
      <c r="B178" s="110" t="s">
        <v>546</v>
      </c>
      <c r="C178" s="112">
        <v>7.2</v>
      </c>
      <c r="D178" s="110" t="s">
        <v>303</v>
      </c>
      <c r="E178" s="110" t="s">
        <v>395</v>
      </c>
      <c r="F178" s="110" t="s">
        <v>396</v>
      </c>
      <c r="G178" s="110" t="s">
        <v>395</v>
      </c>
      <c r="H178" s="110" t="s">
        <v>395</v>
      </c>
      <c r="J178" s="110" t="s">
        <v>523</v>
      </c>
      <c r="M178" s="110" t="s">
        <v>547</v>
      </c>
      <c r="N178" s="110" t="s">
        <v>398</v>
      </c>
      <c r="O178" s="110" t="s">
        <v>395</v>
      </c>
      <c r="P178" s="110">
        <v>1.89</v>
      </c>
      <c r="Q178" s="110" t="s">
        <v>80</v>
      </c>
      <c r="R178" s="110">
        <v>8.9</v>
      </c>
      <c r="S178" s="110">
        <v>20</v>
      </c>
      <c r="T178" s="110" t="s">
        <v>525</v>
      </c>
    </row>
    <row r="179" spans="4:20" x14ac:dyDescent="0.25">
      <c r="D179" s="103"/>
      <c r="O179" s="103"/>
      <c r="T179" s="127"/>
    </row>
    <row r="180" spans="2:18" x14ac:dyDescent="0.25">
      <c r="B180" s="123" t="s">
        <v>548</v>
      </c>
      <c r="C180" s="112"/>
      <c r="D180" s="110"/>
      <c r="E180" s="110"/>
      <c r="F180" s="110"/>
      <c r="G180" s="110"/>
      <c r="H180" s="110"/>
      <c r="M180" s="123" t="s">
        <v>548</v>
      </c>
      <c r="N180" s="110"/>
      <c r="O180" s="110"/>
      <c r="P180" s="110"/>
      <c r="Q180" s="110"/>
      <c r="R180" s="110"/>
    </row>
    <row r="181" spans="2:20" x14ac:dyDescent="0.25">
      <c r="B181" s="110" t="s">
        <v>549</v>
      </c>
      <c r="C181" s="112">
        <v>2.2</v>
      </c>
      <c r="D181" s="110" t="s">
        <v>303</v>
      </c>
      <c r="E181" s="110" t="s">
        <v>395</v>
      </c>
      <c r="F181" s="110" t="s">
        <v>396</v>
      </c>
      <c r="G181" s="110" t="s">
        <v>395</v>
      </c>
      <c r="H181" s="110" t="s">
        <v>395</v>
      </c>
      <c r="J181" s="110" t="s">
        <v>509</v>
      </c>
      <c r="M181" s="110" t="s">
        <v>550</v>
      </c>
      <c r="N181" s="110" t="s">
        <v>398</v>
      </c>
      <c r="O181" s="110" t="s">
        <v>395</v>
      </c>
      <c r="P181" s="110">
        <v>0.435</v>
      </c>
      <c r="Q181" s="110" t="s">
        <v>80</v>
      </c>
      <c r="R181" s="110">
        <v>2.2</v>
      </c>
      <c r="S181" s="110">
        <v>10</v>
      </c>
      <c r="T181" s="110" t="s">
        <v>511</v>
      </c>
    </row>
    <row r="182" spans="2:20" x14ac:dyDescent="0.25">
      <c r="B182" s="110" t="s">
        <v>551</v>
      </c>
      <c r="C182" s="112">
        <v>2.8</v>
      </c>
      <c r="D182" s="110" t="s">
        <v>303</v>
      </c>
      <c r="E182" s="110" t="s">
        <v>395</v>
      </c>
      <c r="F182" s="110" t="s">
        <v>396</v>
      </c>
      <c r="G182" s="110" t="s">
        <v>395</v>
      </c>
      <c r="H182" s="110" t="s">
        <v>395</v>
      </c>
      <c r="J182" s="110" t="s">
        <v>509</v>
      </c>
      <c r="M182" s="110" t="s">
        <v>552</v>
      </c>
      <c r="N182" s="110" t="s">
        <v>398</v>
      </c>
      <c r="O182" s="110" t="s">
        <v>395</v>
      </c>
      <c r="P182" s="110">
        <v>0.6</v>
      </c>
      <c r="Q182" s="110" t="s">
        <v>80</v>
      </c>
      <c r="R182" s="110">
        <v>2.9</v>
      </c>
      <c r="S182" s="110">
        <v>10</v>
      </c>
      <c r="T182" s="110" t="s">
        <v>511</v>
      </c>
    </row>
    <row r="183" spans="2:20" x14ac:dyDescent="0.25">
      <c r="B183" s="110" t="s">
        <v>553</v>
      </c>
      <c r="C183" s="112">
        <v>3.5</v>
      </c>
      <c r="D183" s="110" t="s">
        <v>303</v>
      </c>
      <c r="E183" s="110" t="s">
        <v>395</v>
      </c>
      <c r="F183" s="110" t="s">
        <v>396</v>
      </c>
      <c r="G183" s="110" t="s">
        <v>395</v>
      </c>
      <c r="H183" s="110" t="s">
        <v>395</v>
      </c>
      <c r="J183" s="110" t="s">
        <v>509</v>
      </c>
      <c r="M183" s="110" t="s">
        <v>554</v>
      </c>
      <c r="N183" s="110" t="s">
        <v>398</v>
      </c>
      <c r="O183" s="110" t="s">
        <v>395</v>
      </c>
      <c r="P183" s="110">
        <v>0.78</v>
      </c>
      <c r="Q183" s="110" t="s">
        <v>80</v>
      </c>
      <c r="R183" s="110">
        <v>3.8</v>
      </c>
      <c r="S183" s="110">
        <v>10</v>
      </c>
      <c r="T183" s="110" t="s">
        <v>555</v>
      </c>
    </row>
    <row r="184" spans="2:20" x14ac:dyDescent="0.25">
      <c r="B184" s="110" t="s">
        <v>556</v>
      </c>
      <c r="C184" s="112">
        <v>4.1</v>
      </c>
      <c r="D184" s="110" t="s">
        <v>303</v>
      </c>
      <c r="E184" s="110" t="s">
        <v>395</v>
      </c>
      <c r="F184" s="110" t="s">
        <v>396</v>
      </c>
      <c r="G184" s="110" t="s">
        <v>395</v>
      </c>
      <c r="H184" s="110" t="s">
        <v>395</v>
      </c>
      <c r="J184" s="110" t="s">
        <v>518</v>
      </c>
      <c r="M184" s="110" t="s">
        <v>557</v>
      </c>
      <c r="N184" s="110" t="s">
        <v>398</v>
      </c>
      <c r="O184" s="110" t="s">
        <v>395</v>
      </c>
      <c r="P184" s="110">
        <v>0.995</v>
      </c>
      <c r="Q184" s="110" t="s">
        <v>80</v>
      </c>
      <c r="R184" s="110">
        <v>4.7</v>
      </c>
      <c r="S184" s="110">
        <v>15</v>
      </c>
      <c r="T184" s="110" t="s">
        <v>555</v>
      </c>
    </row>
    <row r="185" spans="2:20" x14ac:dyDescent="0.25">
      <c r="B185" s="110" t="s">
        <v>558</v>
      </c>
      <c r="C185" s="112">
        <v>5</v>
      </c>
      <c r="D185" s="110" t="s">
        <v>303</v>
      </c>
      <c r="E185" s="110" t="s">
        <v>395</v>
      </c>
      <c r="F185" s="110" t="s">
        <v>396</v>
      </c>
      <c r="G185" s="110" t="s">
        <v>395</v>
      </c>
      <c r="H185" s="110" t="s">
        <v>395</v>
      </c>
      <c r="J185" s="110" t="s">
        <v>518</v>
      </c>
      <c r="M185" s="110" t="s">
        <v>559</v>
      </c>
      <c r="N185" s="110" t="s">
        <v>398</v>
      </c>
      <c r="O185" s="110" t="s">
        <v>395</v>
      </c>
      <c r="P185" s="110">
        <v>1.37</v>
      </c>
      <c r="Q185" s="110" t="s">
        <v>80</v>
      </c>
      <c r="R185" s="110">
        <v>6.3</v>
      </c>
      <c r="S185" s="110">
        <v>15</v>
      </c>
      <c r="T185" s="110" t="s">
        <v>555</v>
      </c>
    </row>
    <row r="186" spans="2:20" x14ac:dyDescent="0.25">
      <c r="B186" s="110" t="s">
        <v>560</v>
      </c>
      <c r="C186" s="112">
        <v>6</v>
      </c>
      <c r="D186" s="110" t="s">
        <v>303</v>
      </c>
      <c r="E186" s="110" t="s">
        <v>395</v>
      </c>
      <c r="F186" s="110" t="s">
        <v>396</v>
      </c>
      <c r="G186" s="110" t="s">
        <v>395</v>
      </c>
      <c r="H186" s="110" t="s">
        <v>395</v>
      </c>
      <c r="J186" s="110" t="s">
        <v>523</v>
      </c>
      <c r="M186" s="110" t="s">
        <v>561</v>
      </c>
      <c r="N186" s="110" t="s">
        <v>398</v>
      </c>
      <c r="O186" s="110" t="s">
        <v>395</v>
      </c>
      <c r="P186" s="110">
        <v>1.58</v>
      </c>
      <c r="Q186" s="110" t="s">
        <v>80</v>
      </c>
      <c r="R186" s="110">
        <v>7.5</v>
      </c>
      <c r="S186" s="110">
        <v>15</v>
      </c>
      <c r="T186" s="110" t="s">
        <v>525</v>
      </c>
    </row>
    <row r="187" spans="2:20" x14ac:dyDescent="0.25">
      <c r="B187" s="110" t="s">
        <v>562</v>
      </c>
      <c r="C187" s="112">
        <v>7.2</v>
      </c>
      <c r="D187" s="110" t="s">
        <v>303</v>
      </c>
      <c r="E187" s="110" t="s">
        <v>395</v>
      </c>
      <c r="F187" s="110" t="s">
        <v>396</v>
      </c>
      <c r="G187" s="110" t="s">
        <v>395</v>
      </c>
      <c r="H187" s="110" t="s">
        <v>395</v>
      </c>
      <c r="J187" s="110" t="s">
        <v>523</v>
      </c>
      <c r="M187" s="110" t="s">
        <v>563</v>
      </c>
      <c r="N187" s="110" t="s">
        <v>398</v>
      </c>
      <c r="O187" s="110" t="s">
        <v>395</v>
      </c>
      <c r="P187" s="110">
        <v>2.09</v>
      </c>
      <c r="Q187" s="110" t="s">
        <v>80</v>
      </c>
      <c r="R187" s="110">
        <v>9.8</v>
      </c>
      <c r="S187" s="110">
        <v>15</v>
      </c>
      <c r="T187" s="110" t="s">
        <v>525</v>
      </c>
    </row>
    <row r="188" spans="2:20" x14ac:dyDescent="0.25">
      <c r="B188" s="110" t="s">
        <v>564</v>
      </c>
      <c r="C188" s="112">
        <v>8</v>
      </c>
      <c r="D188" s="110" t="s">
        <v>303</v>
      </c>
      <c r="E188" s="110" t="s">
        <v>395</v>
      </c>
      <c r="F188" s="110" t="s">
        <v>396</v>
      </c>
      <c r="G188" s="110" t="s">
        <v>395</v>
      </c>
      <c r="H188" s="110" t="s">
        <v>395</v>
      </c>
      <c r="J188" s="110" t="s">
        <v>529</v>
      </c>
      <c r="M188" s="110" t="s">
        <v>565</v>
      </c>
      <c r="N188" s="110" t="s">
        <v>398</v>
      </c>
      <c r="O188" s="110" t="s">
        <v>395</v>
      </c>
      <c r="P188" s="110">
        <v>2.12</v>
      </c>
      <c r="Q188" s="110" t="s">
        <v>80</v>
      </c>
      <c r="R188" s="110">
        <v>10</v>
      </c>
      <c r="S188" s="110">
        <v>20</v>
      </c>
      <c r="T188" s="110" t="s">
        <v>86</v>
      </c>
    </row>
    <row r="189" spans="2:20" x14ac:dyDescent="0.25">
      <c r="B189" s="110" t="s">
        <v>566</v>
      </c>
      <c r="C189" s="112">
        <v>8.7</v>
      </c>
      <c r="D189" s="110" t="s">
        <v>303</v>
      </c>
      <c r="E189" s="110" t="s">
        <v>395</v>
      </c>
      <c r="F189" s="110" t="s">
        <v>396</v>
      </c>
      <c r="G189" s="110" t="s">
        <v>395</v>
      </c>
      <c r="H189" s="110" t="s">
        <v>395</v>
      </c>
      <c r="J189" s="110" t="s">
        <v>529</v>
      </c>
      <c r="M189" s="110" t="s">
        <v>567</v>
      </c>
      <c r="N189" s="110" t="s">
        <v>398</v>
      </c>
      <c r="O189" s="110" t="s">
        <v>395</v>
      </c>
      <c r="P189" s="110">
        <v>2.4</v>
      </c>
      <c r="Q189" s="110" t="s">
        <v>80</v>
      </c>
      <c r="R189" s="110">
        <v>11.3</v>
      </c>
      <c r="S189" s="110">
        <v>20</v>
      </c>
      <c r="T189" s="110" t="s">
        <v>86</v>
      </c>
    </row>
    <row r="190" spans="2:4" x14ac:dyDescent="0.25">
      <c r="B190" s="103"/>
      <c r="C190" s="125"/>
      <c r="D190" s="103"/>
    </row>
    <row r="191" spans="2:20" x14ac:dyDescent="0.25">
      <c r="B191" s="123" t="s">
        <v>568</v>
      </c>
      <c r="C191" s="112"/>
      <c r="D191" s="110"/>
      <c r="E191" s="110"/>
      <c r="F191" s="110"/>
      <c r="G191" s="110"/>
      <c r="H191" s="110"/>
      <c r="M191" s="123" t="s">
        <v>568</v>
      </c>
      <c r="N191" s="110"/>
      <c r="O191" s="110"/>
      <c r="P191" s="110"/>
      <c r="Q191" s="110"/>
      <c r="R191" s="110"/>
      <c r="S191" s="103"/>
      <c r="T191" s="103"/>
    </row>
    <row r="192" spans="2:20" x14ac:dyDescent="0.25">
      <c r="B192" s="110" t="s">
        <v>569</v>
      </c>
      <c r="C192" s="112">
        <v>2.2</v>
      </c>
      <c r="D192" s="110" t="s">
        <v>303</v>
      </c>
      <c r="E192" s="110" t="s">
        <v>395</v>
      </c>
      <c r="F192" s="110" t="s">
        <v>396</v>
      </c>
      <c r="G192" s="110" t="s">
        <v>395</v>
      </c>
      <c r="H192" s="110" t="s">
        <v>395</v>
      </c>
      <c r="J192" s="110" t="s">
        <v>570</v>
      </c>
      <c r="M192" s="110" t="s">
        <v>571</v>
      </c>
      <c r="N192" s="110" t="s">
        <v>398</v>
      </c>
      <c r="O192" s="110" t="s">
        <v>395</v>
      </c>
      <c r="P192" s="110">
        <v>0.455</v>
      </c>
      <c r="Q192" s="110" t="s">
        <v>80</v>
      </c>
      <c r="R192" s="110">
        <v>2.3</v>
      </c>
      <c r="S192" s="110">
        <v>15</v>
      </c>
      <c r="T192" s="110" t="s">
        <v>511</v>
      </c>
    </row>
    <row r="193" spans="2:20" x14ac:dyDescent="0.25">
      <c r="B193" s="110" t="s">
        <v>572</v>
      </c>
      <c r="C193" s="112">
        <v>2.8</v>
      </c>
      <c r="D193" s="110" t="s">
        <v>303</v>
      </c>
      <c r="E193" s="110" t="s">
        <v>395</v>
      </c>
      <c r="F193" s="110" t="s">
        <v>396</v>
      </c>
      <c r="G193" s="110" t="s">
        <v>395</v>
      </c>
      <c r="H193" s="110" t="s">
        <v>395</v>
      </c>
      <c r="J193" s="110" t="s">
        <v>570</v>
      </c>
      <c r="M193" s="110" t="s">
        <v>573</v>
      </c>
      <c r="N193" s="110" t="s">
        <v>398</v>
      </c>
      <c r="O193" s="110" t="s">
        <v>395</v>
      </c>
      <c r="P193" s="110">
        <v>0.62</v>
      </c>
      <c r="Q193" s="110" t="s">
        <v>80</v>
      </c>
      <c r="R193" s="110">
        <v>3.1</v>
      </c>
      <c r="S193" s="110">
        <v>15</v>
      </c>
      <c r="T193" s="110" t="s">
        <v>511</v>
      </c>
    </row>
    <row r="194" spans="2:20" x14ac:dyDescent="0.25">
      <c r="B194" s="110" t="s">
        <v>574</v>
      </c>
      <c r="C194" s="112">
        <v>3.5</v>
      </c>
      <c r="D194" s="110" t="s">
        <v>303</v>
      </c>
      <c r="E194" s="110" t="s">
        <v>395</v>
      </c>
      <c r="F194" s="110" t="s">
        <v>396</v>
      </c>
      <c r="G194" s="110" t="s">
        <v>395</v>
      </c>
      <c r="H194" s="110" t="s">
        <v>395</v>
      </c>
      <c r="J194" s="110" t="s">
        <v>570</v>
      </c>
      <c r="M194" s="110" t="s">
        <v>575</v>
      </c>
      <c r="N194" s="110" t="s">
        <v>398</v>
      </c>
      <c r="O194" s="110" t="s">
        <v>395</v>
      </c>
      <c r="P194" s="110">
        <v>0.785</v>
      </c>
      <c r="Q194" s="110" t="s">
        <v>80</v>
      </c>
      <c r="R194" s="110">
        <v>3.8</v>
      </c>
      <c r="S194" s="110">
        <v>15</v>
      </c>
      <c r="T194" s="110" t="s">
        <v>555</v>
      </c>
    </row>
    <row r="195" spans="2:20" x14ac:dyDescent="0.25">
      <c r="B195" s="110" t="s">
        <v>576</v>
      </c>
      <c r="C195" s="112">
        <v>4.1</v>
      </c>
      <c r="D195" s="110" t="s">
        <v>303</v>
      </c>
      <c r="E195" s="110" t="s">
        <v>395</v>
      </c>
      <c r="F195" s="110" t="s">
        <v>396</v>
      </c>
      <c r="G195" s="110" t="s">
        <v>395</v>
      </c>
      <c r="H195" s="110" t="s">
        <v>395</v>
      </c>
      <c r="J195" s="110" t="s">
        <v>577</v>
      </c>
      <c r="M195" s="110" t="s">
        <v>578</v>
      </c>
      <c r="N195" s="110" t="s">
        <v>398</v>
      </c>
      <c r="O195" s="110" t="s">
        <v>395</v>
      </c>
      <c r="P195" s="110">
        <v>0.94</v>
      </c>
      <c r="Q195" s="110" t="s">
        <v>80</v>
      </c>
      <c r="R195" s="110">
        <v>4.5</v>
      </c>
      <c r="S195" s="110">
        <v>15</v>
      </c>
      <c r="T195" s="110" t="s">
        <v>555</v>
      </c>
    </row>
    <row r="196" spans="2:20" x14ac:dyDescent="0.25">
      <c r="B196" s="110" t="s">
        <v>579</v>
      </c>
      <c r="C196" s="112">
        <v>5</v>
      </c>
      <c r="D196" s="110" t="s">
        <v>303</v>
      </c>
      <c r="E196" s="110" t="s">
        <v>395</v>
      </c>
      <c r="F196" s="110" t="s">
        <v>396</v>
      </c>
      <c r="G196" s="110" t="s">
        <v>395</v>
      </c>
      <c r="H196" s="110" t="s">
        <v>395</v>
      </c>
      <c r="J196" s="110" t="s">
        <v>577</v>
      </c>
      <c r="M196" s="110" t="s">
        <v>580</v>
      </c>
      <c r="N196" s="110" t="s">
        <v>398</v>
      </c>
      <c r="O196" s="110" t="s">
        <v>395</v>
      </c>
      <c r="P196" s="110">
        <v>1.34</v>
      </c>
      <c r="Q196" s="110" t="s">
        <v>80</v>
      </c>
      <c r="R196" s="110">
        <v>6.3</v>
      </c>
      <c r="S196" s="110">
        <v>15</v>
      </c>
      <c r="T196" s="110" t="s">
        <v>555</v>
      </c>
    </row>
    <row r="197" spans="2:20" x14ac:dyDescent="0.25">
      <c r="B197" s="110" t="s">
        <v>581</v>
      </c>
      <c r="C197" s="112">
        <v>6</v>
      </c>
      <c r="D197" s="110" t="s">
        <v>303</v>
      </c>
      <c r="E197" s="110" t="s">
        <v>395</v>
      </c>
      <c r="F197" s="110" t="s">
        <v>396</v>
      </c>
      <c r="G197" s="110" t="s">
        <v>395</v>
      </c>
      <c r="H197" s="110" t="s">
        <v>395</v>
      </c>
      <c r="J197" s="110" t="s">
        <v>577</v>
      </c>
      <c r="M197" s="110" t="s">
        <v>582</v>
      </c>
      <c r="N197" s="110" t="s">
        <v>398</v>
      </c>
      <c r="O197" s="110" t="s">
        <v>395</v>
      </c>
      <c r="P197" s="110">
        <v>1.67</v>
      </c>
      <c r="Q197" s="110" t="s">
        <v>80</v>
      </c>
      <c r="R197" s="110">
        <v>7.8</v>
      </c>
      <c r="S197" s="110">
        <v>15</v>
      </c>
      <c r="T197" s="110" t="s">
        <v>525</v>
      </c>
    </row>
    <row r="198" spans="2:20" x14ac:dyDescent="0.25">
      <c r="B198" s="110" t="s">
        <v>583</v>
      </c>
      <c r="C198" s="112">
        <v>7.2</v>
      </c>
      <c r="D198" s="110" t="s">
        <v>303</v>
      </c>
      <c r="E198" s="110" t="s">
        <v>395</v>
      </c>
      <c r="F198" s="110" t="s">
        <v>396</v>
      </c>
      <c r="G198" s="110" t="s">
        <v>395</v>
      </c>
      <c r="H198" s="110" t="s">
        <v>395</v>
      </c>
      <c r="J198" s="110" t="s">
        <v>577</v>
      </c>
      <c r="M198" s="110" t="s">
        <v>584</v>
      </c>
      <c r="N198" s="110" t="s">
        <v>398</v>
      </c>
      <c r="O198" s="110" t="s">
        <v>395</v>
      </c>
      <c r="P198" s="110">
        <v>2.18</v>
      </c>
      <c r="Q198" s="110" t="s">
        <v>80</v>
      </c>
      <c r="R198" s="110">
        <v>10.2</v>
      </c>
      <c r="S198" s="110">
        <v>15</v>
      </c>
      <c r="T198" s="110" t="s">
        <v>525</v>
      </c>
    </row>
    <row r="199" spans="2:4" x14ac:dyDescent="0.25">
      <c r="B199" s="103"/>
      <c r="C199" s="125"/>
      <c r="D199" s="103"/>
    </row>
    <row r="200" spans="2:20" x14ac:dyDescent="0.25">
      <c r="B200" s="123" t="s">
        <v>585</v>
      </c>
      <c r="C200" s="112"/>
      <c r="D200" s="110"/>
      <c r="E200" s="110"/>
      <c r="F200" s="110"/>
      <c r="G200" s="110"/>
      <c r="H200" s="110"/>
      <c r="M200" s="123" t="s">
        <v>585</v>
      </c>
      <c r="N200" s="110"/>
      <c r="O200" s="110"/>
      <c r="P200" s="110"/>
      <c r="Q200" s="110"/>
      <c r="R200" s="110"/>
      <c r="S200" s="103"/>
      <c r="T200" s="103"/>
    </row>
    <row r="201" spans="2:20" x14ac:dyDescent="0.25">
      <c r="B201" s="110" t="s">
        <v>586</v>
      </c>
      <c r="C201" s="112">
        <v>2.2</v>
      </c>
      <c r="D201" s="110" t="s">
        <v>303</v>
      </c>
      <c r="E201" s="110" t="s">
        <v>395</v>
      </c>
      <c r="F201" s="110" t="s">
        <v>396</v>
      </c>
      <c r="G201" s="110" t="s">
        <v>395</v>
      </c>
      <c r="H201" s="110" t="s">
        <v>395</v>
      </c>
      <c r="J201" s="110" t="s">
        <v>587</v>
      </c>
      <c r="M201" s="110" t="s">
        <v>588</v>
      </c>
      <c r="N201" s="110" t="s">
        <v>398</v>
      </c>
      <c r="O201" s="110" t="s">
        <v>395</v>
      </c>
      <c r="P201" s="110">
        <v>0.458</v>
      </c>
      <c r="Q201" s="110" t="s">
        <v>80</v>
      </c>
      <c r="R201" s="110">
        <v>3.1</v>
      </c>
      <c r="S201" s="110">
        <v>15</v>
      </c>
      <c r="T201" s="110" t="s">
        <v>511</v>
      </c>
    </row>
    <row r="202" spans="2:20" x14ac:dyDescent="0.25">
      <c r="B202" s="110" t="s">
        <v>589</v>
      </c>
      <c r="C202" s="112">
        <v>2.8</v>
      </c>
      <c r="D202" s="110" t="s">
        <v>303</v>
      </c>
      <c r="E202" s="110" t="s">
        <v>395</v>
      </c>
      <c r="F202" s="110" t="s">
        <v>396</v>
      </c>
      <c r="G202" s="110" t="s">
        <v>395</v>
      </c>
      <c r="H202" s="110" t="s">
        <v>395</v>
      </c>
      <c r="J202" s="110" t="s">
        <v>587</v>
      </c>
      <c r="M202" s="110" t="s">
        <v>590</v>
      </c>
      <c r="N202" s="110" t="s">
        <v>398</v>
      </c>
      <c r="O202" s="110" t="s">
        <v>395</v>
      </c>
      <c r="P202" s="110">
        <v>0.67</v>
      </c>
      <c r="Q202" s="110" t="s">
        <v>80</v>
      </c>
      <c r="R202" s="110">
        <v>3.5</v>
      </c>
      <c r="S202" s="110">
        <v>15</v>
      </c>
      <c r="T202" s="110" t="s">
        <v>511</v>
      </c>
    </row>
    <row r="203" spans="2:20" x14ac:dyDescent="0.25">
      <c r="B203" s="110" t="s">
        <v>591</v>
      </c>
      <c r="C203" s="112">
        <v>3.5</v>
      </c>
      <c r="D203" s="110" t="s">
        <v>303</v>
      </c>
      <c r="E203" s="110" t="s">
        <v>395</v>
      </c>
      <c r="F203" s="110" t="s">
        <v>396</v>
      </c>
      <c r="G203" s="110" t="s">
        <v>395</v>
      </c>
      <c r="H203" s="110" t="s">
        <v>395</v>
      </c>
      <c r="J203" s="110" t="s">
        <v>587</v>
      </c>
      <c r="M203" s="110" t="s">
        <v>592</v>
      </c>
      <c r="N203" s="110" t="s">
        <v>398</v>
      </c>
      <c r="O203" s="110" t="s">
        <v>395</v>
      </c>
      <c r="P203" s="110">
        <v>0.78</v>
      </c>
      <c r="Q203" s="110" t="s">
        <v>80</v>
      </c>
      <c r="R203" s="110">
        <v>3.7</v>
      </c>
      <c r="S203" s="110">
        <v>15</v>
      </c>
      <c r="T203" s="110" t="s">
        <v>516</v>
      </c>
    </row>
    <row r="204" spans="2:20" x14ac:dyDescent="0.25">
      <c r="B204" s="110" t="s">
        <v>593</v>
      </c>
      <c r="C204" s="112">
        <v>4.1</v>
      </c>
      <c r="D204" s="110" t="s">
        <v>303</v>
      </c>
      <c r="E204" s="110" t="s">
        <v>395</v>
      </c>
      <c r="F204" s="110" t="s">
        <v>396</v>
      </c>
      <c r="G204" s="110" t="s">
        <v>395</v>
      </c>
      <c r="H204" s="110" t="s">
        <v>395</v>
      </c>
      <c r="J204" s="110" t="s">
        <v>594</v>
      </c>
      <c r="M204" s="110" t="s">
        <v>595</v>
      </c>
      <c r="N204" s="110" t="s">
        <v>398</v>
      </c>
      <c r="O204" s="110" t="s">
        <v>395</v>
      </c>
      <c r="P204" s="110">
        <v>0.98</v>
      </c>
      <c r="Q204" s="110" t="s">
        <v>80</v>
      </c>
      <c r="R204" s="110">
        <v>5.3</v>
      </c>
      <c r="S204" s="110">
        <v>15</v>
      </c>
      <c r="T204" s="110" t="s">
        <v>516</v>
      </c>
    </row>
    <row r="205" spans="2:20" x14ac:dyDescent="0.25">
      <c r="B205" s="110" t="s">
        <v>596</v>
      </c>
      <c r="C205" s="112">
        <v>5</v>
      </c>
      <c r="D205" s="110" t="s">
        <v>303</v>
      </c>
      <c r="E205" s="110" t="s">
        <v>395</v>
      </c>
      <c r="F205" s="110" t="s">
        <v>396</v>
      </c>
      <c r="G205" s="110" t="s">
        <v>395</v>
      </c>
      <c r="H205" s="110" t="s">
        <v>395</v>
      </c>
      <c r="J205" s="110" t="s">
        <v>594</v>
      </c>
      <c r="M205" s="110" t="s">
        <v>597</v>
      </c>
      <c r="N205" s="110" t="s">
        <v>398</v>
      </c>
      <c r="O205" s="110" t="s">
        <v>395</v>
      </c>
      <c r="P205" s="110">
        <v>1.29</v>
      </c>
      <c r="Q205" s="110" t="s">
        <v>80</v>
      </c>
      <c r="R205" s="110">
        <v>6</v>
      </c>
      <c r="S205" s="110">
        <v>15</v>
      </c>
      <c r="T205" s="110" t="s">
        <v>516</v>
      </c>
    </row>
    <row r="206" spans="2:20" x14ac:dyDescent="0.25">
      <c r="B206" s="110" t="s">
        <v>598</v>
      </c>
      <c r="C206" s="112">
        <v>6</v>
      </c>
      <c r="D206" s="110" t="s">
        <v>303</v>
      </c>
      <c r="E206" s="110" t="s">
        <v>395</v>
      </c>
      <c r="F206" s="110" t="s">
        <v>396</v>
      </c>
      <c r="G206" s="110" t="s">
        <v>395</v>
      </c>
      <c r="H206" s="110" t="s">
        <v>395</v>
      </c>
      <c r="J206" s="110" t="s">
        <v>594</v>
      </c>
      <c r="M206" s="110" t="s">
        <v>599</v>
      </c>
      <c r="N206" s="110" t="s">
        <v>398</v>
      </c>
      <c r="O206" s="110" t="s">
        <v>395</v>
      </c>
      <c r="P206" s="110">
        <v>1.72</v>
      </c>
      <c r="Q206" s="110" t="s">
        <v>80</v>
      </c>
      <c r="R206" s="110">
        <v>8</v>
      </c>
      <c r="S206" s="110">
        <v>15</v>
      </c>
      <c r="T206" s="110" t="s">
        <v>516</v>
      </c>
    </row>
    <row r="207" spans="2:20" x14ac:dyDescent="0.25">
      <c r="B207" s="110" t="s">
        <v>600</v>
      </c>
      <c r="C207" s="112">
        <v>7.2</v>
      </c>
      <c r="D207" s="110" t="s">
        <v>303</v>
      </c>
      <c r="E207" s="110" t="s">
        <v>395</v>
      </c>
      <c r="F207" s="110" t="s">
        <v>396</v>
      </c>
      <c r="G207" s="110" t="s">
        <v>395</v>
      </c>
      <c r="H207" s="110" t="s">
        <v>395</v>
      </c>
      <c r="J207" s="110" t="s">
        <v>594</v>
      </c>
      <c r="M207" s="110" t="s">
        <v>601</v>
      </c>
      <c r="N207" s="110" t="s">
        <v>398</v>
      </c>
      <c r="O207" s="110" t="s">
        <v>395</v>
      </c>
      <c r="P207" s="110">
        <v>2.15</v>
      </c>
      <c r="Q207" s="110" t="s">
        <v>80</v>
      </c>
      <c r="R207" s="110">
        <v>10</v>
      </c>
      <c r="S207" s="110">
        <v>15</v>
      </c>
      <c r="T207" s="110" t="s">
        <v>516</v>
      </c>
    </row>
    <row r="208" spans="2:4" x14ac:dyDescent="0.25">
      <c r="B208" s="103"/>
      <c r="C208" s="125"/>
      <c r="D208" s="103"/>
    </row>
    <row r="209" spans="2:20" x14ac:dyDescent="0.25">
      <c r="B209" s="123" t="s">
        <v>602</v>
      </c>
      <c r="C209" s="112"/>
      <c r="D209" s="110"/>
      <c r="E209" s="110"/>
      <c r="F209" s="110"/>
      <c r="G209" s="110"/>
      <c r="H209" s="110"/>
      <c r="M209" s="123" t="s">
        <v>603</v>
      </c>
      <c r="N209" s="110"/>
      <c r="O209" s="110"/>
      <c r="P209" s="110"/>
      <c r="Q209" s="110"/>
      <c r="R209" s="110"/>
      <c r="S209" s="103"/>
      <c r="T209" s="103"/>
    </row>
    <row r="210" spans="2:20" x14ac:dyDescent="0.25">
      <c r="B210" s="110" t="s">
        <v>604</v>
      </c>
      <c r="C210" s="112">
        <v>2.2</v>
      </c>
      <c r="D210" s="110" t="s">
        <v>303</v>
      </c>
      <c r="E210" s="110" t="s">
        <v>395</v>
      </c>
      <c r="F210" s="110" t="s">
        <v>396</v>
      </c>
      <c r="G210" s="110" t="s">
        <v>395</v>
      </c>
      <c r="H210" s="110" t="s">
        <v>395</v>
      </c>
      <c r="J210" s="110" t="s">
        <v>605</v>
      </c>
      <c r="M210" s="110" t="s">
        <v>606</v>
      </c>
      <c r="N210" s="110" t="s">
        <v>398</v>
      </c>
      <c r="O210" s="110" t="s">
        <v>395</v>
      </c>
      <c r="P210" s="110">
        <v>0.465</v>
      </c>
      <c r="Q210" s="110" t="s">
        <v>80</v>
      </c>
      <c r="R210" s="110">
        <v>3.1</v>
      </c>
      <c r="S210" s="110">
        <v>15</v>
      </c>
      <c r="T210" s="110" t="s">
        <v>511</v>
      </c>
    </row>
    <row r="211" spans="2:24" x14ac:dyDescent="0.25">
      <c r="B211" s="110" t="s">
        <v>607</v>
      </c>
      <c r="C211" s="112">
        <v>2.5</v>
      </c>
      <c r="D211" s="110" t="s">
        <v>303</v>
      </c>
      <c r="E211" s="110" t="s">
        <v>395</v>
      </c>
      <c r="F211" s="110" t="s">
        <v>396</v>
      </c>
      <c r="G211" s="110" t="s">
        <v>395</v>
      </c>
      <c r="H211" s="110" t="s">
        <v>395</v>
      </c>
      <c r="J211" s="110" t="s">
        <v>605</v>
      </c>
      <c r="M211" s="110" t="s">
        <v>608</v>
      </c>
      <c r="N211" s="110" t="s">
        <v>398</v>
      </c>
      <c r="O211" s="110" t="s">
        <v>395</v>
      </c>
      <c r="P211" s="110">
        <v>0.55</v>
      </c>
      <c r="Q211" s="110" t="s">
        <v>80</v>
      </c>
      <c r="R211" s="110">
        <v>2.8</v>
      </c>
      <c r="S211" s="110">
        <v>15</v>
      </c>
      <c r="T211" s="110" t="s">
        <v>511</v>
      </c>
      <c r="U211" s="104"/>
      <c r="V211" s="104"/>
      <c r="W211" s="104"/>
      <c r="X211" s="104"/>
    </row>
    <row r="212" spans="2:24" x14ac:dyDescent="0.25">
      <c r="B212" s="110" t="s">
        <v>609</v>
      </c>
      <c r="C212" s="112">
        <v>3</v>
      </c>
      <c r="D212" s="110" t="s">
        <v>303</v>
      </c>
      <c r="E212" s="110" t="s">
        <v>395</v>
      </c>
      <c r="F212" s="110" t="s">
        <v>396</v>
      </c>
      <c r="G212" s="110" t="s">
        <v>395</v>
      </c>
      <c r="H212" s="110" t="s">
        <v>395</v>
      </c>
      <c r="J212" s="110" t="s">
        <v>605</v>
      </c>
      <c r="M212" s="110" t="s">
        <v>610</v>
      </c>
      <c r="N212" s="110" t="s">
        <v>398</v>
      </c>
      <c r="O212" s="110" t="s">
        <v>395</v>
      </c>
      <c r="P212" s="110">
        <v>0.7</v>
      </c>
      <c r="Q212" s="110" t="s">
        <v>80</v>
      </c>
      <c r="R212" s="110">
        <v>3.4</v>
      </c>
      <c r="S212" s="110">
        <v>15</v>
      </c>
      <c r="T212" s="110" t="s">
        <v>511</v>
      </c>
      <c r="U212" s="104"/>
      <c r="V212" s="104"/>
      <c r="W212" s="104"/>
      <c r="X212" s="104"/>
    </row>
    <row r="213" spans="2:24" x14ac:dyDescent="0.25">
      <c r="B213" s="110" t="s">
        <v>611</v>
      </c>
      <c r="C213" s="112">
        <v>4</v>
      </c>
      <c r="D213" s="110" t="s">
        <v>303</v>
      </c>
      <c r="E213" s="110" t="s">
        <v>395</v>
      </c>
      <c r="F213" s="110" t="s">
        <v>396</v>
      </c>
      <c r="G213" s="110" t="s">
        <v>395</v>
      </c>
      <c r="H213" s="110" t="s">
        <v>395</v>
      </c>
      <c r="J213" s="110" t="s">
        <v>612</v>
      </c>
      <c r="M213" s="110" t="s">
        <v>613</v>
      </c>
      <c r="N213" s="110" t="s">
        <v>398</v>
      </c>
      <c r="O213" s="110" t="s">
        <v>395</v>
      </c>
      <c r="P213" s="110">
        <v>0.952</v>
      </c>
      <c r="Q213" s="110" t="s">
        <v>80</v>
      </c>
      <c r="R213" s="110">
        <v>5.1</v>
      </c>
      <c r="S213" s="110">
        <v>15</v>
      </c>
      <c r="T213" s="110" t="s">
        <v>516</v>
      </c>
      <c r="U213" s="104"/>
      <c r="V213" s="104"/>
      <c r="W213" s="104"/>
      <c r="X213" s="104"/>
    </row>
    <row r="214" spans="2:24" x14ac:dyDescent="0.25">
      <c r="B214" s="110" t="s">
        <v>614</v>
      </c>
      <c r="C214" s="112">
        <v>5</v>
      </c>
      <c r="D214" s="110" t="s">
        <v>303</v>
      </c>
      <c r="E214" s="110" t="s">
        <v>395</v>
      </c>
      <c r="F214" s="110" t="s">
        <v>396</v>
      </c>
      <c r="G214" s="110" t="s">
        <v>395</v>
      </c>
      <c r="H214" s="110" t="s">
        <v>395</v>
      </c>
      <c r="J214" s="110" t="s">
        <v>612</v>
      </c>
      <c r="M214" s="110" t="s">
        <v>615</v>
      </c>
      <c r="N214" s="110" t="s">
        <v>398</v>
      </c>
      <c r="O214" s="110" t="s">
        <v>395</v>
      </c>
      <c r="P214" s="110">
        <v>1.315</v>
      </c>
      <c r="Q214" s="110" t="s">
        <v>80</v>
      </c>
      <c r="R214" s="110">
        <v>6.1</v>
      </c>
      <c r="S214" s="110">
        <v>15</v>
      </c>
      <c r="T214" s="110" t="s">
        <v>516</v>
      </c>
      <c r="U214" s="104"/>
      <c r="V214" s="104"/>
      <c r="W214" s="104"/>
      <c r="X214" s="104"/>
    </row>
    <row r="215" spans="2:24" x14ac:dyDescent="0.25">
      <c r="B215" s="110" t="s">
        <v>616</v>
      </c>
      <c r="C215" s="112">
        <v>6</v>
      </c>
      <c r="D215" s="110" t="s">
        <v>303</v>
      </c>
      <c r="E215" s="110" t="s">
        <v>395</v>
      </c>
      <c r="F215" s="110" t="s">
        <v>396</v>
      </c>
      <c r="G215" s="110" t="s">
        <v>395</v>
      </c>
      <c r="H215" s="110" t="s">
        <v>395</v>
      </c>
      <c r="J215" s="110" t="s">
        <v>612</v>
      </c>
      <c r="M215" s="110" t="s">
        <v>617</v>
      </c>
      <c r="N215" s="110" t="s">
        <v>398</v>
      </c>
      <c r="O215" s="110" t="s">
        <v>395</v>
      </c>
      <c r="P215" s="110">
        <v>1.78</v>
      </c>
      <c r="Q215" s="110" t="s">
        <v>80</v>
      </c>
      <c r="R215" s="110">
        <v>8.2</v>
      </c>
      <c r="S215" s="110">
        <v>15</v>
      </c>
      <c r="T215" s="110" t="s">
        <v>516</v>
      </c>
      <c r="U215" s="104"/>
      <c r="V215" s="104"/>
      <c r="W215" s="104"/>
      <c r="X215" s="104"/>
    </row>
    <row r="216" spans="2:24" x14ac:dyDescent="0.25">
      <c r="B216" s="110" t="s">
        <v>618</v>
      </c>
      <c r="C216" s="112">
        <v>7.2</v>
      </c>
      <c r="D216" s="110" t="s">
        <v>303</v>
      </c>
      <c r="E216" s="110" t="s">
        <v>395</v>
      </c>
      <c r="F216" s="110" t="s">
        <v>396</v>
      </c>
      <c r="G216" s="110" t="s">
        <v>395</v>
      </c>
      <c r="H216" s="110" t="s">
        <v>395</v>
      </c>
      <c r="J216" s="110" t="s">
        <v>612</v>
      </c>
      <c r="M216" s="110" t="s">
        <v>619</v>
      </c>
      <c r="N216" s="110" t="s">
        <v>398</v>
      </c>
      <c r="O216" s="110" t="s">
        <v>395</v>
      </c>
      <c r="P216" s="110">
        <v>2.23</v>
      </c>
      <c r="Q216" s="110" t="s">
        <v>80</v>
      </c>
      <c r="R216" s="110">
        <v>10.2</v>
      </c>
      <c r="S216" s="110">
        <v>15</v>
      </c>
      <c r="T216" s="110" t="s">
        <v>516</v>
      </c>
      <c r="U216" s="104"/>
      <c r="V216" s="104"/>
      <c r="W216" s="104"/>
      <c r="X216" s="104"/>
    </row>
    <row r="217" spans="2:24" x14ac:dyDescent="0.25">
      <c r="B217" s="103"/>
      <c r="C217" s="125"/>
      <c r="D217" s="103"/>
      <c r="M217" s="103"/>
      <c r="N217" s="103"/>
      <c r="U217" s="104"/>
      <c r="V217" s="104"/>
      <c r="W217" s="104"/>
      <c r="X217" s="104"/>
    </row>
    <row r="218" spans="2:24" x14ac:dyDescent="0.25">
      <c r="B218" s="123" t="s">
        <v>620</v>
      </c>
      <c r="C218" s="112"/>
      <c r="D218" s="110"/>
      <c r="E218" s="110"/>
      <c r="F218" s="110"/>
      <c r="G218" s="110"/>
      <c r="H218" s="110"/>
      <c r="M218" s="123" t="s">
        <v>620</v>
      </c>
      <c r="N218" s="110"/>
      <c r="O218" s="110"/>
      <c r="P218" s="110"/>
      <c r="Q218" s="110"/>
      <c r="R218" s="110"/>
      <c r="S218" s="103"/>
      <c r="T218" s="103"/>
      <c r="U218" s="104"/>
      <c r="V218" s="104"/>
      <c r="W218" s="104"/>
      <c r="X218" s="104"/>
    </row>
    <row r="219" spans="2:24" x14ac:dyDescent="0.25">
      <c r="B219" s="110" t="s">
        <v>621</v>
      </c>
      <c r="C219" s="112">
        <v>2.2</v>
      </c>
      <c r="D219" s="110" t="s">
        <v>303</v>
      </c>
      <c r="E219" s="110" t="s">
        <v>395</v>
      </c>
      <c r="F219" s="110" t="s">
        <v>396</v>
      </c>
      <c r="G219" s="110" t="s">
        <v>395</v>
      </c>
      <c r="H219" s="110" t="s">
        <v>395</v>
      </c>
      <c r="J219" s="110" t="s">
        <v>605</v>
      </c>
      <c r="M219" s="110" t="s">
        <v>622</v>
      </c>
      <c r="N219" s="110" t="s">
        <v>398</v>
      </c>
      <c r="O219" s="110" t="s">
        <v>395</v>
      </c>
      <c r="P219" s="110">
        <v>0.465</v>
      </c>
      <c r="Q219" s="110" t="s">
        <v>80</v>
      </c>
      <c r="R219" s="110">
        <v>3.1</v>
      </c>
      <c r="S219" s="110">
        <v>15</v>
      </c>
      <c r="T219" s="110" t="s">
        <v>511</v>
      </c>
      <c r="U219" s="104"/>
      <c r="V219" s="104"/>
      <c r="W219" s="104"/>
      <c r="X219" s="104"/>
    </row>
    <row r="220" spans="2:21" x14ac:dyDescent="0.25">
      <c r="B220" s="110" t="s">
        <v>623</v>
      </c>
      <c r="C220" s="112">
        <v>2.5</v>
      </c>
      <c r="D220" s="110" t="s">
        <v>303</v>
      </c>
      <c r="E220" s="110" t="s">
        <v>395</v>
      </c>
      <c r="F220" s="110" t="s">
        <v>396</v>
      </c>
      <c r="G220" s="110" t="s">
        <v>395</v>
      </c>
      <c r="H220" s="110" t="s">
        <v>395</v>
      </c>
      <c r="J220" s="110" t="s">
        <v>605</v>
      </c>
      <c r="M220" s="110" t="s">
        <v>624</v>
      </c>
      <c r="N220" s="110" t="s">
        <v>398</v>
      </c>
      <c r="O220" s="110" t="s">
        <v>395</v>
      </c>
      <c r="P220" s="110">
        <v>0.55</v>
      </c>
      <c r="Q220" s="110" t="s">
        <v>80</v>
      </c>
      <c r="R220" s="110">
        <v>2.8</v>
      </c>
      <c r="S220" s="110">
        <v>15</v>
      </c>
      <c r="T220" s="110" t="s">
        <v>511</v>
      </c>
      <c r="U220" s="104"/>
    </row>
    <row r="221" spans="2:21" x14ac:dyDescent="0.25">
      <c r="B221" s="110" t="s">
        <v>625</v>
      </c>
      <c r="C221" s="112">
        <v>3</v>
      </c>
      <c r="D221" s="110" t="s">
        <v>303</v>
      </c>
      <c r="E221" s="110" t="s">
        <v>395</v>
      </c>
      <c r="F221" s="110" t="s">
        <v>396</v>
      </c>
      <c r="G221" s="110" t="s">
        <v>395</v>
      </c>
      <c r="H221" s="110" t="s">
        <v>395</v>
      </c>
      <c r="J221" s="110" t="s">
        <v>605</v>
      </c>
      <c r="M221" s="110" t="s">
        <v>626</v>
      </c>
      <c r="N221" s="110" t="s">
        <v>398</v>
      </c>
      <c r="O221" s="110" t="s">
        <v>395</v>
      </c>
      <c r="P221" s="110">
        <v>0.684</v>
      </c>
      <c r="Q221" s="110" t="s">
        <v>80</v>
      </c>
      <c r="R221" s="110">
        <v>3.4</v>
      </c>
      <c r="S221" s="110">
        <v>15</v>
      </c>
      <c r="T221" s="110" t="s">
        <v>511</v>
      </c>
      <c r="U221" s="104"/>
    </row>
    <row r="222" spans="2:21" x14ac:dyDescent="0.25">
      <c r="B222" s="110" t="s">
        <v>627</v>
      </c>
      <c r="C222" s="112">
        <v>4.1</v>
      </c>
      <c r="D222" s="110" t="s">
        <v>303</v>
      </c>
      <c r="E222" s="110" t="s">
        <v>395</v>
      </c>
      <c r="F222" s="110" t="s">
        <v>396</v>
      </c>
      <c r="G222" s="110" t="s">
        <v>395</v>
      </c>
      <c r="H222" s="110" t="s">
        <v>395</v>
      </c>
      <c r="J222" s="110" t="s">
        <v>612</v>
      </c>
      <c r="M222" s="110" t="s">
        <v>628</v>
      </c>
      <c r="N222" s="110" t="s">
        <v>398</v>
      </c>
      <c r="O222" s="110" t="s">
        <v>395</v>
      </c>
      <c r="P222" s="110">
        <v>1</v>
      </c>
      <c r="Q222" s="110" t="s">
        <v>80</v>
      </c>
      <c r="R222" s="110">
        <v>5.4</v>
      </c>
      <c r="S222" s="110">
        <v>15</v>
      </c>
      <c r="T222" s="110" t="s">
        <v>516</v>
      </c>
      <c r="U222" s="104"/>
    </row>
    <row r="223" spans="2:21" x14ac:dyDescent="0.25">
      <c r="B223" s="110" t="s">
        <v>629</v>
      </c>
      <c r="C223" s="112">
        <v>5</v>
      </c>
      <c r="D223" s="110" t="s">
        <v>303</v>
      </c>
      <c r="E223" s="110" t="s">
        <v>395</v>
      </c>
      <c r="F223" s="110" t="s">
        <v>396</v>
      </c>
      <c r="G223" s="110" t="s">
        <v>395</v>
      </c>
      <c r="H223" s="110" t="s">
        <v>395</v>
      </c>
      <c r="J223" s="110" t="s">
        <v>612</v>
      </c>
      <c r="M223" s="110" t="s">
        <v>630</v>
      </c>
      <c r="N223" s="110" t="s">
        <v>398</v>
      </c>
      <c r="O223" s="110" t="s">
        <v>395</v>
      </c>
      <c r="P223" s="110">
        <v>1.315</v>
      </c>
      <c r="Q223" s="110" t="s">
        <v>80</v>
      </c>
      <c r="R223" s="110">
        <v>6.1</v>
      </c>
      <c r="S223" s="110">
        <v>15</v>
      </c>
      <c r="T223" s="110" t="s">
        <v>516</v>
      </c>
      <c r="U223" s="104"/>
    </row>
    <row r="224" spans="2:21" x14ac:dyDescent="0.25">
      <c r="B224" s="110" t="s">
        <v>631</v>
      </c>
      <c r="C224" s="112">
        <v>6</v>
      </c>
      <c r="D224" s="110" t="s">
        <v>303</v>
      </c>
      <c r="E224" s="110" t="s">
        <v>395</v>
      </c>
      <c r="F224" s="110" t="s">
        <v>396</v>
      </c>
      <c r="G224" s="110" t="s">
        <v>395</v>
      </c>
      <c r="H224" s="110" t="s">
        <v>395</v>
      </c>
      <c r="J224" s="110" t="s">
        <v>612</v>
      </c>
      <c r="M224" s="110" t="s">
        <v>632</v>
      </c>
      <c r="N224" s="110" t="s">
        <v>398</v>
      </c>
      <c r="O224" s="110" t="s">
        <v>395</v>
      </c>
      <c r="P224" s="110">
        <v>1.72</v>
      </c>
      <c r="Q224" s="110" t="s">
        <v>80</v>
      </c>
      <c r="R224" s="110">
        <v>8</v>
      </c>
      <c r="S224" s="110">
        <v>15</v>
      </c>
      <c r="T224" s="110" t="s">
        <v>516</v>
      </c>
      <c r="U224" s="104"/>
    </row>
    <row r="225" spans="2:21" x14ac:dyDescent="0.25">
      <c r="B225" s="110" t="s">
        <v>633</v>
      </c>
      <c r="C225" s="112">
        <v>7.2</v>
      </c>
      <c r="D225" s="110" t="s">
        <v>303</v>
      </c>
      <c r="E225" s="110" t="s">
        <v>395</v>
      </c>
      <c r="F225" s="110" t="s">
        <v>396</v>
      </c>
      <c r="G225" s="110" t="s">
        <v>395</v>
      </c>
      <c r="H225" s="110" t="s">
        <v>395</v>
      </c>
      <c r="J225" s="110" t="s">
        <v>612</v>
      </c>
      <c r="M225" s="110" t="s">
        <v>634</v>
      </c>
      <c r="N225" s="110" t="s">
        <v>398</v>
      </c>
      <c r="O225" s="110" t="s">
        <v>395</v>
      </c>
      <c r="P225" s="110">
        <v>2.15</v>
      </c>
      <c r="Q225" s="110" t="s">
        <v>80</v>
      </c>
      <c r="R225" s="110">
        <v>10</v>
      </c>
      <c r="S225" s="110">
        <v>15</v>
      </c>
      <c r="T225" s="110" t="s">
        <v>516</v>
      </c>
      <c r="U225" s="104"/>
    </row>
    <row r="226" spans="2:4" x14ac:dyDescent="0.25">
      <c r="B226" s="103"/>
      <c r="C226" s="125"/>
      <c r="D226" s="103"/>
    </row>
    <row r="227" spans="2:20" x14ac:dyDescent="0.25">
      <c r="B227" s="123" t="s">
        <v>635</v>
      </c>
      <c r="C227" s="112"/>
      <c r="D227" s="110"/>
      <c r="E227" s="110"/>
      <c r="F227" s="110"/>
      <c r="G227" s="110"/>
      <c r="H227" s="110"/>
      <c r="M227" s="123" t="s">
        <v>635</v>
      </c>
      <c r="N227" s="110"/>
      <c r="O227" s="110"/>
      <c r="P227" s="110"/>
      <c r="Q227" s="110"/>
      <c r="R227" s="110"/>
      <c r="S227" s="103"/>
      <c r="T227" s="103"/>
    </row>
    <row r="228" spans="2:20" x14ac:dyDescent="0.25">
      <c r="B228" s="110" t="s">
        <v>636</v>
      </c>
      <c r="C228" s="112">
        <v>2.2</v>
      </c>
      <c r="D228" s="110" t="s">
        <v>83</v>
      </c>
      <c r="E228" s="110" t="s">
        <v>395</v>
      </c>
      <c r="F228" s="110" t="s">
        <v>396</v>
      </c>
      <c r="G228" s="110" t="s">
        <v>395</v>
      </c>
      <c r="H228" s="110" t="s">
        <v>395</v>
      </c>
      <c r="J228" s="110" t="s">
        <v>84</v>
      </c>
      <c r="M228" s="110" t="s">
        <v>550</v>
      </c>
      <c r="N228" s="110" t="s">
        <v>398</v>
      </c>
      <c r="O228" s="110" t="s">
        <v>395</v>
      </c>
      <c r="P228" s="110">
        <v>0.59</v>
      </c>
      <c r="Q228" s="110" t="s">
        <v>80</v>
      </c>
      <c r="R228" s="128">
        <v>2.2</v>
      </c>
      <c r="S228" s="129">
        <v>10</v>
      </c>
      <c r="T228" s="110" t="s">
        <v>511</v>
      </c>
    </row>
    <row r="229" spans="2:20" x14ac:dyDescent="0.25">
      <c r="B229" s="110" t="s">
        <v>637</v>
      </c>
      <c r="C229" s="112">
        <v>2.8</v>
      </c>
      <c r="D229" s="110" t="s">
        <v>83</v>
      </c>
      <c r="E229" s="110" t="s">
        <v>395</v>
      </c>
      <c r="F229" s="110" t="s">
        <v>396</v>
      </c>
      <c r="G229" s="110" t="s">
        <v>395</v>
      </c>
      <c r="H229" s="110" t="s">
        <v>395</v>
      </c>
      <c r="J229" s="110" t="s">
        <v>84</v>
      </c>
      <c r="M229" s="110" t="s">
        <v>552</v>
      </c>
      <c r="N229" s="110" t="s">
        <v>398</v>
      </c>
      <c r="O229" s="110" t="s">
        <v>395</v>
      </c>
      <c r="P229" s="110">
        <v>0.84</v>
      </c>
      <c r="Q229" s="110" t="s">
        <v>80</v>
      </c>
      <c r="R229" s="128">
        <v>2.9</v>
      </c>
      <c r="S229" s="129">
        <v>10</v>
      </c>
      <c r="T229" s="110" t="s">
        <v>511</v>
      </c>
    </row>
    <row r="230" spans="2:20" x14ac:dyDescent="0.25">
      <c r="B230" s="110" t="s">
        <v>638</v>
      </c>
      <c r="C230" s="112">
        <v>3.5</v>
      </c>
      <c r="D230" s="110" t="s">
        <v>83</v>
      </c>
      <c r="E230" s="110" t="s">
        <v>395</v>
      </c>
      <c r="F230" s="110" t="s">
        <v>396</v>
      </c>
      <c r="G230" s="110" t="s">
        <v>395</v>
      </c>
      <c r="H230" s="110" t="s">
        <v>395</v>
      </c>
      <c r="J230" s="110" t="s">
        <v>84</v>
      </c>
      <c r="M230" s="110" t="s">
        <v>554</v>
      </c>
      <c r="N230" s="110" t="s">
        <v>398</v>
      </c>
      <c r="O230" s="110" t="s">
        <v>395</v>
      </c>
      <c r="P230" s="110">
        <v>1.18</v>
      </c>
      <c r="Q230" s="110" t="s">
        <v>80</v>
      </c>
      <c r="R230" s="128">
        <v>3.8</v>
      </c>
      <c r="S230" s="129">
        <v>10</v>
      </c>
      <c r="T230" s="110" t="s">
        <v>516</v>
      </c>
    </row>
    <row r="231" spans="2:20" x14ac:dyDescent="0.25">
      <c r="B231" s="110" t="s">
        <v>639</v>
      </c>
      <c r="C231" s="112">
        <v>4.1</v>
      </c>
      <c r="D231" s="110" t="s">
        <v>83</v>
      </c>
      <c r="E231" s="110" t="s">
        <v>395</v>
      </c>
      <c r="F231" s="110" t="s">
        <v>396</v>
      </c>
      <c r="G231" s="110" t="s">
        <v>395</v>
      </c>
      <c r="H231" s="110" t="s">
        <v>395</v>
      </c>
      <c r="J231" s="110" t="s">
        <v>97</v>
      </c>
      <c r="M231" s="110" t="s">
        <v>557</v>
      </c>
      <c r="N231" s="110" t="s">
        <v>398</v>
      </c>
      <c r="O231" s="110" t="s">
        <v>395</v>
      </c>
      <c r="P231" s="110">
        <v>1.26</v>
      </c>
      <c r="Q231" s="110" t="s">
        <v>80</v>
      </c>
      <c r="R231" s="128">
        <v>4.7</v>
      </c>
      <c r="S231" s="129">
        <v>15</v>
      </c>
      <c r="T231" s="110" t="s">
        <v>516</v>
      </c>
    </row>
    <row r="232" spans="2:20" x14ac:dyDescent="0.25">
      <c r="B232" s="110" t="s">
        <v>640</v>
      </c>
      <c r="C232" s="112">
        <v>5</v>
      </c>
      <c r="D232" s="110" t="s">
        <v>83</v>
      </c>
      <c r="E232" s="110" t="s">
        <v>395</v>
      </c>
      <c r="F232" s="110" t="s">
        <v>396</v>
      </c>
      <c r="G232" s="110" t="s">
        <v>395</v>
      </c>
      <c r="H232" s="110" t="s">
        <v>395</v>
      </c>
      <c r="J232" s="110" t="s">
        <v>97</v>
      </c>
      <c r="M232" s="110" t="s">
        <v>559</v>
      </c>
      <c r="N232" s="110" t="s">
        <v>398</v>
      </c>
      <c r="O232" s="110" t="s">
        <v>395</v>
      </c>
      <c r="P232" s="110">
        <v>1.77</v>
      </c>
      <c r="Q232" s="110" t="s">
        <v>80</v>
      </c>
      <c r="R232" s="128">
        <v>6.3</v>
      </c>
      <c r="S232" s="129">
        <v>15</v>
      </c>
      <c r="T232" s="110" t="s">
        <v>516</v>
      </c>
    </row>
    <row r="233" spans="2:20" x14ac:dyDescent="0.25">
      <c r="B233" s="110" t="s">
        <v>641</v>
      </c>
      <c r="C233" s="112">
        <v>6</v>
      </c>
      <c r="D233" s="110" t="s">
        <v>83</v>
      </c>
      <c r="E233" s="110" t="s">
        <v>395</v>
      </c>
      <c r="F233" s="110" t="s">
        <v>396</v>
      </c>
      <c r="G233" s="110" t="s">
        <v>395</v>
      </c>
      <c r="H233" s="110" t="s">
        <v>395</v>
      </c>
      <c r="J233" s="110" t="s">
        <v>104</v>
      </c>
      <c r="M233" s="110" t="s">
        <v>561</v>
      </c>
      <c r="N233" s="110" t="s">
        <v>398</v>
      </c>
      <c r="O233" s="110" t="s">
        <v>395</v>
      </c>
      <c r="P233" s="110">
        <v>1.98</v>
      </c>
      <c r="Q233" s="110" t="s">
        <v>80</v>
      </c>
      <c r="R233" s="128">
        <v>7.5</v>
      </c>
      <c r="S233" s="129">
        <v>15</v>
      </c>
      <c r="T233" s="110" t="s">
        <v>525</v>
      </c>
    </row>
    <row r="234" spans="2:21" x14ac:dyDescent="0.25">
      <c r="B234" s="110" t="s">
        <v>642</v>
      </c>
      <c r="C234" s="112">
        <v>7.2</v>
      </c>
      <c r="D234" s="110" t="s">
        <v>83</v>
      </c>
      <c r="E234" s="110" t="s">
        <v>395</v>
      </c>
      <c r="F234" s="110" t="s">
        <v>396</v>
      </c>
      <c r="G234" s="110" t="s">
        <v>395</v>
      </c>
      <c r="H234" s="110" t="s">
        <v>395</v>
      </c>
      <c r="J234" s="110" t="s">
        <v>104</v>
      </c>
      <c r="M234" s="110" t="s">
        <v>563</v>
      </c>
      <c r="N234" s="110" t="s">
        <v>398</v>
      </c>
      <c r="O234" s="110" t="s">
        <v>395</v>
      </c>
      <c r="P234" s="110">
        <v>2.76</v>
      </c>
      <c r="Q234" s="110" t="s">
        <v>80</v>
      </c>
      <c r="R234" s="128">
        <v>9.8</v>
      </c>
      <c r="S234" s="129">
        <v>15</v>
      </c>
      <c r="T234" s="110" t="s">
        <v>525</v>
      </c>
      <c r="U234" s="104"/>
    </row>
    <row r="235" spans="2:21" x14ac:dyDescent="0.25">
      <c r="B235" s="103"/>
      <c r="C235" s="125"/>
      <c r="D235" s="103"/>
      <c r="U235" s="104"/>
    </row>
    <row r="236" spans="2:21" x14ac:dyDescent="0.25">
      <c r="B236" s="123" t="s">
        <v>643</v>
      </c>
      <c r="C236" s="112"/>
      <c r="D236" s="110"/>
      <c r="E236" s="110"/>
      <c r="F236" s="110"/>
      <c r="G236" s="110"/>
      <c r="H236" s="110"/>
      <c r="M236" s="123" t="s">
        <v>643</v>
      </c>
      <c r="N236" s="110"/>
      <c r="O236" s="110"/>
      <c r="P236" s="110"/>
      <c r="Q236" s="110"/>
      <c r="R236" s="110"/>
      <c r="S236" s="103"/>
      <c r="T236" s="103"/>
      <c r="U236" s="104"/>
    </row>
    <row r="237" spans="2:21" x14ac:dyDescent="0.25">
      <c r="B237" s="110" t="s">
        <v>534</v>
      </c>
      <c r="C237" s="110">
        <v>2.2</v>
      </c>
      <c r="D237" s="110" t="s">
        <v>303</v>
      </c>
      <c r="E237" s="110" t="s">
        <v>395</v>
      </c>
      <c r="F237" s="110" t="s">
        <v>396</v>
      </c>
      <c r="G237" s="110" t="s">
        <v>395</v>
      </c>
      <c r="H237" s="110" t="s">
        <v>395</v>
      </c>
      <c r="J237" s="110" t="s">
        <v>518</v>
      </c>
      <c r="M237" s="110" t="s">
        <v>644</v>
      </c>
      <c r="N237" s="110" t="s">
        <v>645</v>
      </c>
      <c r="O237" s="110" t="s">
        <v>395</v>
      </c>
      <c r="P237" s="110" t="s">
        <v>646</v>
      </c>
      <c r="Q237" s="110" t="s">
        <v>80</v>
      </c>
      <c r="R237" s="110" t="s">
        <v>647</v>
      </c>
      <c r="S237" s="110">
        <v>20</v>
      </c>
      <c r="T237" s="110" t="s">
        <v>525</v>
      </c>
      <c r="U237" s="104"/>
    </row>
    <row r="238" spans="2:21" x14ac:dyDescent="0.25">
      <c r="B238" s="110" t="s">
        <v>536</v>
      </c>
      <c r="C238" s="110">
        <v>2.8</v>
      </c>
      <c r="D238" s="110" t="s">
        <v>303</v>
      </c>
      <c r="E238" s="110" t="s">
        <v>395</v>
      </c>
      <c r="F238" s="110" t="s">
        <v>396</v>
      </c>
      <c r="G238" s="110" t="s">
        <v>395</v>
      </c>
      <c r="H238" s="110" t="s">
        <v>395</v>
      </c>
      <c r="J238" s="110" t="s">
        <v>518</v>
      </c>
      <c r="M238" s="110" t="s">
        <v>648</v>
      </c>
      <c r="N238" s="110" t="s">
        <v>649</v>
      </c>
      <c r="O238" s="110" t="s">
        <v>395</v>
      </c>
      <c r="P238" s="110" t="s">
        <v>646</v>
      </c>
      <c r="Q238" s="110" t="s">
        <v>80</v>
      </c>
      <c r="R238" s="110" t="s">
        <v>650</v>
      </c>
      <c r="S238" s="110">
        <v>20</v>
      </c>
      <c r="T238" s="110" t="s">
        <v>525</v>
      </c>
      <c r="U238" s="104"/>
    </row>
    <row r="239" spans="2:21" x14ac:dyDescent="0.25">
      <c r="B239" s="110" t="s">
        <v>538</v>
      </c>
      <c r="C239" s="110">
        <v>3.6</v>
      </c>
      <c r="D239" s="110" t="s">
        <v>303</v>
      </c>
      <c r="E239" s="110" t="s">
        <v>395</v>
      </c>
      <c r="F239" s="110" t="s">
        <v>396</v>
      </c>
      <c r="G239" s="110" t="s">
        <v>395</v>
      </c>
      <c r="H239" s="110" t="s">
        <v>395</v>
      </c>
      <c r="J239" s="110" t="s">
        <v>518</v>
      </c>
      <c r="M239" s="110" t="s">
        <v>651</v>
      </c>
      <c r="N239" s="110" t="s">
        <v>652</v>
      </c>
      <c r="O239" s="110" t="s">
        <v>395</v>
      </c>
      <c r="P239" s="110" t="s">
        <v>646</v>
      </c>
      <c r="Q239" s="110" t="s">
        <v>80</v>
      </c>
      <c r="R239" s="110" t="s">
        <v>653</v>
      </c>
      <c r="S239" s="110">
        <v>20</v>
      </c>
      <c r="T239" s="110" t="s">
        <v>525</v>
      </c>
      <c r="U239" s="104"/>
    </row>
    <row r="240" spans="2:21" x14ac:dyDescent="0.25">
      <c r="B240" s="110" t="s">
        <v>540</v>
      </c>
      <c r="C240" s="110">
        <v>4.1</v>
      </c>
      <c r="D240" s="110" t="s">
        <v>303</v>
      </c>
      <c r="E240" s="110" t="s">
        <v>395</v>
      </c>
      <c r="F240" s="110" t="s">
        <v>396</v>
      </c>
      <c r="G240" s="110" t="s">
        <v>395</v>
      </c>
      <c r="H240" s="110" t="s">
        <v>395</v>
      </c>
      <c r="J240" s="110" t="s">
        <v>523</v>
      </c>
      <c r="M240" s="110" t="s">
        <v>654</v>
      </c>
      <c r="N240" s="110" t="s">
        <v>655</v>
      </c>
      <c r="O240" s="110" t="s">
        <v>395</v>
      </c>
      <c r="P240" s="110" t="s">
        <v>646</v>
      </c>
      <c r="Q240" s="110" t="s">
        <v>80</v>
      </c>
      <c r="R240" s="110" t="s">
        <v>656</v>
      </c>
      <c r="S240" s="110">
        <v>30</v>
      </c>
      <c r="T240" s="110" t="s">
        <v>86</v>
      </c>
      <c r="U240" s="104"/>
    </row>
    <row r="241" spans="2:21" x14ac:dyDescent="0.25">
      <c r="B241" s="110" t="s">
        <v>542</v>
      </c>
      <c r="C241" s="110">
        <v>5</v>
      </c>
      <c r="D241" s="110" t="s">
        <v>303</v>
      </c>
      <c r="E241" s="110" t="s">
        <v>395</v>
      </c>
      <c r="F241" s="110" t="s">
        <v>396</v>
      </c>
      <c r="G241" s="110" t="s">
        <v>395</v>
      </c>
      <c r="H241" s="110" t="s">
        <v>395</v>
      </c>
      <c r="J241" s="110" t="s">
        <v>523</v>
      </c>
      <c r="U241" s="104"/>
    </row>
    <row r="242" spans="2:21" x14ac:dyDescent="0.25">
      <c r="B242" s="110" t="s">
        <v>544</v>
      </c>
      <c r="C242" s="110">
        <v>6</v>
      </c>
      <c r="D242" s="110" t="s">
        <v>303</v>
      </c>
      <c r="E242" s="110" t="s">
        <v>395</v>
      </c>
      <c r="F242" s="110" t="s">
        <v>396</v>
      </c>
      <c r="G242" s="110" t="s">
        <v>395</v>
      </c>
      <c r="H242" s="110" t="s">
        <v>395</v>
      </c>
      <c r="J242" s="110" t="s">
        <v>523</v>
      </c>
      <c r="M242" s="123" t="s">
        <v>657</v>
      </c>
      <c r="N242" s="110"/>
      <c r="O242" s="110" t="s">
        <v>395</v>
      </c>
      <c r="P242" s="110"/>
      <c r="Q242" s="110"/>
      <c r="R242" s="110"/>
      <c r="S242" s="103"/>
      <c r="T242" s="103"/>
      <c r="U242" s="104"/>
    </row>
    <row r="243" spans="2:21" x14ac:dyDescent="0.25">
      <c r="B243" s="110" t="s">
        <v>658</v>
      </c>
      <c r="C243" s="110">
        <v>7.1</v>
      </c>
      <c r="D243" s="110" t="s">
        <v>303</v>
      </c>
      <c r="E243" s="110" t="s">
        <v>395</v>
      </c>
      <c r="F243" s="110" t="s">
        <v>396</v>
      </c>
      <c r="G243" s="110" t="s">
        <v>395</v>
      </c>
      <c r="H243" s="110" t="s">
        <v>395</v>
      </c>
      <c r="J243" s="110" t="s">
        <v>523</v>
      </c>
      <c r="M243" s="110" t="s">
        <v>659</v>
      </c>
      <c r="N243" s="110" t="s">
        <v>660</v>
      </c>
      <c r="O243" s="110" t="s">
        <v>395</v>
      </c>
      <c r="P243" s="110" t="s">
        <v>646</v>
      </c>
      <c r="Q243" s="110" t="s">
        <v>80</v>
      </c>
      <c r="R243" s="110" t="s">
        <v>661</v>
      </c>
      <c r="S243" s="110">
        <v>10</v>
      </c>
      <c r="T243" s="110" t="s">
        <v>511</v>
      </c>
      <c r="U243" s="104"/>
    </row>
    <row r="244" spans="2:21" x14ac:dyDescent="0.25">
      <c r="B244" s="110" t="s">
        <v>662</v>
      </c>
      <c r="C244" s="110">
        <v>8</v>
      </c>
      <c r="D244" s="110" t="s">
        <v>303</v>
      </c>
      <c r="E244" s="110" t="s">
        <v>395</v>
      </c>
      <c r="F244" s="110" t="s">
        <v>396</v>
      </c>
      <c r="G244" s="110" t="s">
        <v>395</v>
      </c>
      <c r="H244" s="110" t="s">
        <v>395</v>
      </c>
      <c r="J244" s="110" t="s">
        <v>663</v>
      </c>
      <c r="M244" s="110" t="s">
        <v>664</v>
      </c>
      <c r="N244" s="110" t="s">
        <v>652</v>
      </c>
      <c r="O244" s="110" t="s">
        <v>395</v>
      </c>
      <c r="P244" s="110" t="s">
        <v>646</v>
      </c>
      <c r="Q244" s="110" t="s">
        <v>80</v>
      </c>
      <c r="R244" s="110" t="s">
        <v>665</v>
      </c>
      <c r="S244" s="110">
        <v>20</v>
      </c>
      <c r="T244" s="110" t="s">
        <v>525</v>
      </c>
      <c r="U244" s="104"/>
    </row>
    <row r="245" spans="2:21" x14ac:dyDescent="0.25">
      <c r="B245" s="110" t="s">
        <v>666</v>
      </c>
      <c r="C245" s="110">
        <v>9</v>
      </c>
      <c r="D245" s="110" t="s">
        <v>303</v>
      </c>
      <c r="E245" s="110" t="s">
        <v>395</v>
      </c>
      <c r="F245" s="110" t="s">
        <v>396</v>
      </c>
      <c r="G245" s="110" t="s">
        <v>395</v>
      </c>
      <c r="H245" s="110" t="s">
        <v>395</v>
      </c>
      <c r="J245" s="110" t="s">
        <v>663</v>
      </c>
      <c r="M245" s="103"/>
      <c r="N245" s="103"/>
      <c r="P245" s="103"/>
      <c r="U245" s="104"/>
    </row>
    <row r="246" spans="2:16" x14ac:dyDescent="0.25">
      <c r="B246" s="110" t="s">
        <v>636</v>
      </c>
      <c r="C246" s="110">
        <v>2.2</v>
      </c>
      <c r="D246" s="110" t="s">
        <v>83</v>
      </c>
      <c r="E246" s="110" t="s">
        <v>395</v>
      </c>
      <c r="F246" s="110" t="s">
        <v>396</v>
      </c>
      <c r="G246" s="110" t="s">
        <v>395</v>
      </c>
      <c r="H246" s="110" t="s">
        <v>395</v>
      </c>
      <c r="J246" s="110" t="s">
        <v>84</v>
      </c>
      <c r="M246" s="103"/>
      <c r="N246" s="103"/>
      <c r="P246" s="103"/>
    </row>
    <row r="247" spans="2:16" x14ac:dyDescent="0.25">
      <c r="B247" s="110" t="s">
        <v>637</v>
      </c>
      <c r="C247" s="110">
        <v>2.8</v>
      </c>
      <c r="D247" s="110" t="s">
        <v>83</v>
      </c>
      <c r="E247" s="110" t="s">
        <v>395</v>
      </c>
      <c r="F247" s="110" t="s">
        <v>396</v>
      </c>
      <c r="G247" s="110" t="s">
        <v>395</v>
      </c>
      <c r="H247" s="110" t="s">
        <v>395</v>
      </c>
      <c r="J247" s="110" t="s">
        <v>84</v>
      </c>
      <c r="M247" s="103"/>
      <c r="N247" s="103"/>
      <c r="P247" s="103"/>
    </row>
    <row r="248" spans="2:16" x14ac:dyDescent="0.25">
      <c r="B248" s="110" t="s">
        <v>638</v>
      </c>
      <c r="C248" s="110">
        <v>3.6</v>
      </c>
      <c r="D248" s="110" t="s">
        <v>83</v>
      </c>
      <c r="E248" s="110" t="s">
        <v>395</v>
      </c>
      <c r="F248" s="110" t="s">
        <v>396</v>
      </c>
      <c r="G248" s="110" t="s">
        <v>395</v>
      </c>
      <c r="H248" s="110" t="s">
        <v>395</v>
      </c>
      <c r="J248" s="110" t="s">
        <v>84</v>
      </c>
      <c r="M248" s="103"/>
      <c r="N248" s="103"/>
      <c r="P248" s="103"/>
    </row>
    <row r="249" spans="2:16" x14ac:dyDescent="0.25">
      <c r="B249" s="110" t="s">
        <v>639</v>
      </c>
      <c r="C249" s="110">
        <v>4.1</v>
      </c>
      <c r="D249" s="110" t="s">
        <v>83</v>
      </c>
      <c r="E249" s="110" t="s">
        <v>395</v>
      </c>
      <c r="F249" s="110" t="s">
        <v>396</v>
      </c>
      <c r="G249" s="110" t="s">
        <v>395</v>
      </c>
      <c r="H249" s="110" t="s">
        <v>395</v>
      </c>
      <c r="J249" s="110" t="s">
        <v>97</v>
      </c>
      <c r="M249" s="103"/>
      <c r="N249" s="103"/>
      <c r="P249" s="103"/>
    </row>
    <row r="250" spans="2:16" x14ac:dyDescent="0.25">
      <c r="B250" s="110" t="s">
        <v>640</v>
      </c>
      <c r="C250" s="110">
        <v>5</v>
      </c>
      <c r="D250" s="110" t="s">
        <v>83</v>
      </c>
      <c r="E250" s="110" t="s">
        <v>395</v>
      </c>
      <c r="F250" s="110" t="s">
        <v>396</v>
      </c>
      <c r="G250" s="110" t="s">
        <v>395</v>
      </c>
      <c r="H250" s="110" t="s">
        <v>395</v>
      </c>
      <c r="J250" s="110" t="s">
        <v>97</v>
      </c>
      <c r="M250" s="103"/>
      <c r="N250" s="103"/>
      <c r="P250" s="103"/>
    </row>
    <row r="251" spans="2:16" x14ac:dyDescent="0.25">
      <c r="B251" s="110" t="s">
        <v>641</v>
      </c>
      <c r="C251" s="110">
        <v>6</v>
      </c>
      <c r="D251" s="110" t="s">
        <v>83</v>
      </c>
      <c r="E251" s="110" t="s">
        <v>395</v>
      </c>
      <c r="F251" s="110" t="s">
        <v>396</v>
      </c>
      <c r="G251" s="110" t="s">
        <v>395</v>
      </c>
      <c r="H251" s="110" t="s">
        <v>395</v>
      </c>
      <c r="J251" s="110" t="s">
        <v>104</v>
      </c>
      <c r="M251" s="103"/>
      <c r="N251" s="103"/>
      <c r="P251" s="103"/>
    </row>
    <row r="252" spans="2:16" x14ac:dyDescent="0.25">
      <c r="B252" s="110" t="s">
        <v>642</v>
      </c>
      <c r="C252" s="110">
        <v>7.1</v>
      </c>
      <c r="D252" s="110" t="s">
        <v>83</v>
      </c>
      <c r="E252" s="110" t="s">
        <v>395</v>
      </c>
      <c r="F252" s="110" t="s">
        <v>396</v>
      </c>
      <c r="G252" s="110" t="s">
        <v>395</v>
      </c>
      <c r="H252" s="110" t="s">
        <v>395</v>
      </c>
      <c r="J252" s="110" t="s">
        <v>104</v>
      </c>
      <c r="M252" s="103"/>
      <c r="N252" s="103"/>
      <c r="P252" s="103"/>
    </row>
    <row r="253" spans="13:16" x14ac:dyDescent="0.25">
      <c r="M253" s="103"/>
      <c r="N253" s="103"/>
      <c r="P253" s="103"/>
    </row>
    <row r="254" spans="2:16" x14ac:dyDescent="0.25">
      <c r="B254" s="123" t="s">
        <v>657</v>
      </c>
      <c r="C254" s="112"/>
      <c r="D254" s="110"/>
      <c r="E254" s="110"/>
      <c r="F254" s="110"/>
      <c r="G254" s="110"/>
      <c r="H254" s="110"/>
      <c r="M254" s="103"/>
      <c r="N254" s="103"/>
      <c r="P254" s="103"/>
    </row>
    <row r="255" spans="2:16" x14ac:dyDescent="0.25">
      <c r="B255" s="110" t="s">
        <v>621</v>
      </c>
      <c r="C255" s="112">
        <v>2.2</v>
      </c>
      <c r="D255" s="110" t="s">
        <v>303</v>
      </c>
      <c r="E255" s="110" t="s">
        <v>395</v>
      </c>
      <c r="F255" s="110" t="s">
        <v>396</v>
      </c>
      <c r="G255" s="110" t="s">
        <v>395</v>
      </c>
      <c r="H255" s="110" t="s">
        <v>395</v>
      </c>
      <c r="J255" s="110" t="s">
        <v>605</v>
      </c>
      <c r="M255" s="103"/>
      <c r="N255" s="103"/>
      <c r="P255" s="103"/>
    </row>
    <row r="256" spans="2:16" x14ac:dyDescent="0.25">
      <c r="B256" s="110" t="s">
        <v>623</v>
      </c>
      <c r="C256" s="112">
        <v>2.5</v>
      </c>
      <c r="D256" s="110" t="s">
        <v>303</v>
      </c>
      <c r="E256" s="110" t="s">
        <v>395</v>
      </c>
      <c r="F256" s="110" t="s">
        <v>396</v>
      </c>
      <c r="G256" s="110" t="s">
        <v>395</v>
      </c>
      <c r="H256" s="110" t="s">
        <v>395</v>
      </c>
      <c r="J256" s="110" t="s">
        <v>605</v>
      </c>
      <c r="M256" s="103"/>
      <c r="N256" s="103"/>
      <c r="P256" s="103"/>
    </row>
    <row r="257" spans="2:16" x14ac:dyDescent="0.25">
      <c r="B257" s="110" t="s">
        <v>625</v>
      </c>
      <c r="C257" s="112">
        <v>3</v>
      </c>
      <c r="D257" s="110" t="s">
        <v>303</v>
      </c>
      <c r="E257" s="110" t="s">
        <v>395</v>
      </c>
      <c r="F257" s="110" t="s">
        <v>396</v>
      </c>
      <c r="G257" s="110" t="s">
        <v>395</v>
      </c>
      <c r="H257" s="110" t="s">
        <v>395</v>
      </c>
      <c r="J257" s="110" t="s">
        <v>605</v>
      </c>
      <c r="M257" s="103"/>
      <c r="N257" s="103"/>
      <c r="P257" s="103"/>
    </row>
    <row r="258" spans="2:16" x14ac:dyDescent="0.25">
      <c r="B258" s="110" t="s">
        <v>611</v>
      </c>
      <c r="C258" s="112">
        <v>4.1</v>
      </c>
      <c r="D258" s="110" t="s">
        <v>303</v>
      </c>
      <c r="E258" s="110" t="s">
        <v>395</v>
      </c>
      <c r="F258" s="110" t="s">
        <v>396</v>
      </c>
      <c r="G258" s="110" t="s">
        <v>395</v>
      </c>
      <c r="H258" s="110" t="s">
        <v>395</v>
      </c>
      <c r="J258" s="110" t="s">
        <v>612</v>
      </c>
      <c r="M258" s="103"/>
      <c r="N258" s="103"/>
      <c r="P258" s="103"/>
    </row>
    <row r="259" spans="2:16" x14ac:dyDescent="0.25">
      <c r="B259" s="110" t="s">
        <v>614</v>
      </c>
      <c r="C259" s="112">
        <v>5</v>
      </c>
      <c r="D259" s="110" t="s">
        <v>303</v>
      </c>
      <c r="E259" s="110" t="s">
        <v>395</v>
      </c>
      <c r="F259" s="110" t="s">
        <v>396</v>
      </c>
      <c r="G259" s="110" t="s">
        <v>395</v>
      </c>
      <c r="H259" s="110" t="s">
        <v>395</v>
      </c>
      <c r="J259" s="110" t="s">
        <v>612</v>
      </c>
      <c r="M259" s="103"/>
      <c r="N259" s="103"/>
      <c r="P259" s="103"/>
    </row>
    <row r="260" spans="2:16" x14ac:dyDescent="0.25">
      <c r="B260" s="110" t="s">
        <v>616</v>
      </c>
      <c r="C260" s="112">
        <v>6</v>
      </c>
      <c r="D260" s="110" t="s">
        <v>303</v>
      </c>
      <c r="E260" s="110" t="s">
        <v>395</v>
      </c>
      <c r="F260" s="110" t="s">
        <v>396</v>
      </c>
      <c r="G260" s="110" t="s">
        <v>395</v>
      </c>
      <c r="H260" s="110" t="s">
        <v>395</v>
      </c>
      <c r="J260" s="110" t="s">
        <v>612</v>
      </c>
      <c r="M260" s="103"/>
      <c r="N260" s="103"/>
      <c r="P260" s="103"/>
    </row>
    <row r="261" spans="2:16" x14ac:dyDescent="0.25">
      <c r="B261" s="110" t="s">
        <v>618</v>
      </c>
      <c r="C261" s="112">
        <v>7.2</v>
      </c>
      <c r="D261" s="110" t="s">
        <v>303</v>
      </c>
      <c r="E261" s="110" t="s">
        <v>395</v>
      </c>
      <c r="F261" s="110" t="s">
        <v>396</v>
      </c>
      <c r="G261" s="110" t="s">
        <v>395</v>
      </c>
      <c r="H261" s="110" t="s">
        <v>395</v>
      </c>
      <c r="J261" s="110" t="s">
        <v>612</v>
      </c>
      <c r="M261" s="103"/>
      <c r="N261" s="103"/>
      <c r="P261" s="103"/>
    </row>
    <row r="262" spans="2:16" x14ac:dyDescent="0.25">
      <c r="B262" s="103"/>
      <c r="C262" s="125"/>
      <c r="D262" s="103"/>
      <c r="M262" s="103"/>
      <c r="N262" s="103"/>
      <c r="P262" s="103"/>
    </row>
    <row r="264" spans="2:16" x14ac:dyDescent="0.25">
      <c r="B264" s="130" t="s">
        <v>667</v>
      </c>
      <c r="C264" s="131"/>
      <c r="D264" s="132"/>
      <c r="E264" s="132"/>
      <c r="F264" s="132"/>
      <c r="G264" s="132"/>
      <c r="H264" s="132"/>
      <c r="M264" s="133" t="s">
        <v>668</v>
      </c>
      <c r="N264" s="103"/>
      <c r="O264" s="103"/>
      <c r="P264" s="103"/>
    </row>
    <row r="265" spans="2:18" x14ac:dyDescent="0.25">
      <c r="B265" s="133" t="s">
        <v>669</v>
      </c>
      <c r="C265" s="110"/>
      <c r="D265" s="110"/>
      <c r="E265" s="110"/>
      <c r="F265" s="110"/>
      <c r="G265" s="110"/>
      <c r="H265" s="110"/>
      <c r="M265" s="133" t="s">
        <v>669</v>
      </c>
      <c r="N265" s="110"/>
      <c r="O265" s="110"/>
      <c r="P265" s="110"/>
      <c r="Q265" s="110"/>
      <c r="R265" s="110"/>
    </row>
    <row r="266" spans="2:20" x14ac:dyDescent="0.25">
      <c r="B266" s="110" t="s">
        <v>670</v>
      </c>
      <c r="C266" s="110">
        <v>7.2</v>
      </c>
      <c r="D266" s="110" t="s">
        <v>303</v>
      </c>
      <c r="E266" s="110" t="s">
        <v>395</v>
      </c>
      <c r="F266" s="110" t="s">
        <v>396</v>
      </c>
      <c r="G266" s="110" t="s">
        <v>395</v>
      </c>
      <c r="H266" s="110" t="s">
        <v>395</v>
      </c>
      <c r="J266" s="110" t="s">
        <v>671</v>
      </c>
      <c r="M266" s="110" t="s">
        <v>672</v>
      </c>
      <c r="N266" s="110">
        <v>7.2</v>
      </c>
      <c r="O266" s="110" t="s">
        <v>395</v>
      </c>
      <c r="P266" s="110">
        <v>2.23</v>
      </c>
      <c r="Q266" s="110" t="s">
        <v>80</v>
      </c>
      <c r="R266" s="110">
        <v>10.2</v>
      </c>
      <c r="S266" s="110">
        <v>15</v>
      </c>
      <c r="T266" s="110" t="s">
        <v>516</v>
      </c>
    </row>
    <row r="267" spans="2:20" x14ac:dyDescent="0.25">
      <c r="B267" s="110" t="s">
        <v>673</v>
      </c>
      <c r="C267" s="110">
        <v>9.5</v>
      </c>
      <c r="D267" s="110" t="s">
        <v>303</v>
      </c>
      <c r="E267" s="110" t="s">
        <v>395</v>
      </c>
      <c r="F267" s="110" t="s">
        <v>396</v>
      </c>
      <c r="G267" s="110" t="s">
        <v>395</v>
      </c>
      <c r="H267" s="110" t="s">
        <v>395</v>
      </c>
      <c r="J267" s="110" t="s">
        <v>674</v>
      </c>
      <c r="M267" s="110" t="s">
        <v>675</v>
      </c>
      <c r="N267" s="110">
        <v>9.5</v>
      </c>
      <c r="O267" s="110" t="s">
        <v>395</v>
      </c>
      <c r="P267" s="110">
        <v>2.8</v>
      </c>
      <c r="Q267" s="110" t="s">
        <v>80</v>
      </c>
      <c r="R267" s="110">
        <v>13.3</v>
      </c>
      <c r="S267" s="110">
        <v>20</v>
      </c>
      <c r="T267" s="110" t="s">
        <v>86</v>
      </c>
    </row>
    <row r="268" spans="2:14" x14ac:dyDescent="0.25">
      <c r="B268" s="132"/>
      <c r="C268" s="132"/>
      <c r="D268" s="132"/>
      <c r="E268" s="132"/>
      <c r="F268" s="132"/>
      <c r="G268" s="132"/>
      <c r="H268" s="132"/>
      <c r="N268" s="103"/>
    </row>
    <row r="269" spans="2:18" x14ac:dyDescent="0.25">
      <c r="B269" s="133" t="s">
        <v>676</v>
      </c>
      <c r="C269" s="114"/>
      <c r="D269" s="114"/>
      <c r="E269" s="114"/>
      <c r="F269" s="114"/>
      <c r="G269" s="114"/>
      <c r="H269" s="114"/>
      <c r="M269" s="133" t="s">
        <v>677</v>
      </c>
      <c r="N269" s="110"/>
      <c r="O269" s="110"/>
      <c r="P269" s="110"/>
      <c r="Q269" s="110"/>
      <c r="R269" s="110"/>
    </row>
    <row r="270" spans="2:20" x14ac:dyDescent="0.25">
      <c r="B270" s="110" t="s">
        <v>678</v>
      </c>
      <c r="C270" s="110">
        <v>7.2</v>
      </c>
      <c r="D270" s="110" t="s">
        <v>261</v>
      </c>
      <c r="E270" s="110" t="s">
        <v>395</v>
      </c>
      <c r="F270" s="110" t="s">
        <v>396</v>
      </c>
      <c r="G270" s="110" t="s">
        <v>395</v>
      </c>
      <c r="H270" s="110" t="s">
        <v>395</v>
      </c>
      <c r="J270" s="110" t="s">
        <v>262</v>
      </c>
      <c r="M270" s="110" t="s">
        <v>679</v>
      </c>
      <c r="N270" s="110">
        <v>7.2</v>
      </c>
      <c r="O270" s="110" t="s">
        <v>395</v>
      </c>
      <c r="P270" s="110">
        <v>1.9</v>
      </c>
      <c r="Q270" s="110" t="s">
        <v>80</v>
      </c>
      <c r="R270" s="110">
        <v>9.5</v>
      </c>
      <c r="S270" s="110">
        <v>16</v>
      </c>
      <c r="T270" s="110" t="s">
        <v>680</v>
      </c>
    </row>
    <row r="271" spans="2:20" x14ac:dyDescent="0.25">
      <c r="B271" s="110" t="s">
        <v>681</v>
      </c>
      <c r="C271" s="110">
        <v>7.2</v>
      </c>
      <c r="D271" s="110" t="s">
        <v>261</v>
      </c>
      <c r="E271" s="110" t="s">
        <v>395</v>
      </c>
      <c r="F271" s="110" t="s">
        <v>396</v>
      </c>
      <c r="G271" s="110" t="s">
        <v>395</v>
      </c>
      <c r="H271" s="110" t="s">
        <v>395</v>
      </c>
      <c r="J271" s="110" t="s">
        <v>262</v>
      </c>
      <c r="M271" s="110" t="s">
        <v>682</v>
      </c>
      <c r="N271" s="110">
        <v>7.2</v>
      </c>
      <c r="O271" s="110" t="s">
        <v>395</v>
      </c>
      <c r="P271" s="110">
        <v>1.9</v>
      </c>
      <c r="Q271" s="110" t="s">
        <v>80</v>
      </c>
      <c r="R271" s="110">
        <v>9.5</v>
      </c>
      <c r="S271" s="110">
        <v>16</v>
      </c>
      <c r="T271" s="110" t="s">
        <v>516</v>
      </c>
    </row>
    <row r="272" spans="2:20" x14ac:dyDescent="0.25">
      <c r="B272" s="110" t="s">
        <v>683</v>
      </c>
      <c r="C272" s="110">
        <v>10.1</v>
      </c>
      <c r="D272" s="110" t="s">
        <v>261</v>
      </c>
      <c r="E272" s="110" t="s">
        <v>395</v>
      </c>
      <c r="F272" s="110" t="s">
        <v>396</v>
      </c>
      <c r="G272" s="110" t="s">
        <v>395</v>
      </c>
      <c r="H272" s="110" t="s">
        <v>395</v>
      </c>
      <c r="J272" s="110" t="s">
        <v>275</v>
      </c>
      <c r="M272" s="110" t="s">
        <v>684</v>
      </c>
      <c r="N272" s="110">
        <v>10.1</v>
      </c>
      <c r="O272" s="110" t="s">
        <v>395</v>
      </c>
      <c r="P272" s="110">
        <v>2.88</v>
      </c>
      <c r="Q272" s="110" t="s">
        <v>80</v>
      </c>
      <c r="R272" s="110">
        <v>13.4</v>
      </c>
      <c r="S272" s="110">
        <v>32</v>
      </c>
      <c r="T272" s="110" t="s">
        <v>86</v>
      </c>
    </row>
    <row r="273" spans="2:20" x14ac:dyDescent="0.25">
      <c r="B273" s="110" t="s">
        <v>685</v>
      </c>
      <c r="C273" s="110">
        <v>12.5</v>
      </c>
      <c r="D273" s="110" t="s">
        <v>261</v>
      </c>
      <c r="E273" s="110" t="s">
        <v>395</v>
      </c>
      <c r="F273" s="110" t="s">
        <v>396</v>
      </c>
      <c r="G273" s="110" t="s">
        <v>395</v>
      </c>
      <c r="H273" s="110" t="s">
        <v>395</v>
      </c>
      <c r="J273" s="110" t="s">
        <v>275</v>
      </c>
      <c r="M273" s="110" t="s">
        <v>686</v>
      </c>
      <c r="N273" s="110">
        <v>12.5</v>
      </c>
      <c r="O273" s="110" t="s">
        <v>395</v>
      </c>
      <c r="P273" s="110">
        <v>4</v>
      </c>
      <c r="Q273" s="110" t="s">
        <v>80</v>
      </c>
      <c r="R273" s="110">
        <v>18.3</v>
      </c>
      <c r="S273" s="110">
        <v>32</v>
      </c>
      <c r="T273" s="110" t="s">
        <v>86</v>
      </c>
    </row>
    <row r="274" spans="2:20" x14ac:dyDescent="0.25">
      <c r="B274" s="110" t="s">
        <v>687</v>
      </c>
      <c r="C274" s="110">
        <v>14</v>
      </c>
      <c r="D274" s="110" t="s">
        <v>261</v>
      </c>
      <c r="E274" s="110" t="s">
        <v>395</v>
      </c>
      <c r="F274" s="110" t="s">
        <v>396</v>
      </c>
      <c r="G274" s="110" t="s">
        <v>395</v>
      </c>
      <c r="H274" s="110" t="s">
        <v>395</v>
      </c>
      <c r="J274" s="110" t="s">
        <v>275</v>
      </c>
      <c r="M274" s="110" t="s">
        <v>688</v>
      </c>
      <c r="N274" s="110">
        <v>14</v>
      </c>
      <c r="O274" s="110" t="s">
        <v>395</v>
      </c>
      <c r="P274" s="110">
        <v>4.8</v>
      </c>
      <c r="Q274" s="110" t="s">
        <v>80</v>
      </c>
      <c r="R274" s="110">
        <v>22</v>
      </c>
      <c r="S274" s="110">
        <v>32</v>
      </c>
      <c r="T274" s="110" t="s">
        <v>86</v>
      </c>
    </row>
    <row r="275" spans="2:20" x14ac:dyDescent="0.25">
      <c r="B275" s="110" t="s">
        <v>689</v>
      </c>
      <c r="C275" s="110">
        <v>14</v>
      </c>
      <c r="D275" s="110" t="s">
        <v>261</v>
      </c>
      <c r="E275" s="110" t="s">
        <v>395</v>
      </c>
      <c r="F275" s="110" t="s">
        <v>396</v>
      </c>
      <c r="G275" s="110" t="s">
        <v>395</v>
      </c>
      <c r="H275" s="110" t="s">
        <v>395</v>
      </c>
      <c r="I275" s="134"/>
      <c r="J275" s="110" t="s">
        <v>275</v>
      </c>
      <c r="K275" s="134"/>
      <c r="M275" s="110" t="s">
        <v>690</v>
      </c>
      <c r="N275" s="110">
        <v>14</v>
      </c>
      <c r="O275" s="110" t="s">
        <v>395</v>
      </c>
      <c r="P275" s="110">
        <v>4.8</v>
      </c>
      <c r="Q275" s="110" t="s">
        <v>124</v>
      </c>
      <c r="R275" s="110">
        <v>13.4</v>
      </c>
      <c r="S275" s="110">
        <v>32</v>
      </c>
      <c r="T275" s="110" t="s">
        <v>86</v>
      </c>
    </row>
    <row r="276" spans="2:20" x14ac:dyDescent="0.25">
      <c r="B276" s="110" t="s">
        <v>687</v>
      </c>
      <c r="C276" s="110">
        <v>14</v>
      </c>
      <c r="D276" s="110" t="s">
        <v>261</v>
      </c>
      <c r="E276" s="110" t="s">
        <v>395</v>
      </c>
      <c r="F276" s="110" t="s">
        <v>396</v>
      </c>
      <c r="G276" s="110" t="s">
        <v>395</v>
      </c>
      <c r="H276" s="110" t="s">
        <v>395</v>
      </c>
      <c r="I276" s="134"/>
      <c r="J276" s="110" t="s">
        <v>275</v>
      </c>
      <c r="K276" s="134"/>
      <c r="M276" s="110" t="s">
        <v>691</v>
      </c>
      <c r="N276" s="110">
        <v>14</v>
      </c>
      <c r="O276" s="110" t="s">
        <v>395</v>
      </c>
      <c r="P276" s="110">
        <v>4.8</v>
      </c>
      <c r="Q276" s="110" t="s">
        <v>141</v>
      </c>
      <c r="R276" s="110">
        <v>8.22</v>
      </c>
      <c r="S276" s="110">
        <v>20</v>
      </c>
      <c r="T276" s="110" t="s">
        <v>86</v>
      </c>
    </row>
    <row r="277" spans="3:5" x14ac:dyDescent="0.25">
      <c r="C277" s="103"/>
      <c r="D277" s="103"/>
      <c r="E277" s="103"/>
    </row>
    <row r="278" spans="2:18" x14ac:dyDescent="0.25">
      <c r="B278" s="133" t="s">
        <v>692</v>
      </c>
      <c r="C278" s="110"/>
      <c r="D278" s="110"/>
      <c r="E278" s="110"/>
      <c r="F278" s="110"/>
      <c r="G278" s="110"/>
      <c r="H278" s="110"/>
      <c r="M278" s="133" t="s">
        <v>693</v>
      </c>
      <c r="N278" s="110"/>
      <c r="O278" s="110"/>
      <c r="P278" s="110"/>
      <c r="Q278" s="110"/>
      <c r="R278" s="110"/>
    </row>
    <row r="279" spans="2:20" x14ac:dyDescent="0.25">
      <c r="B279" s="110" t="s">
        <v>694</v>
      </c>
      <c r="C279" s="110">
        <v>7.2</v>
      </c>
      <c r="D279" s="110" t="s">
        <v>83</v>
      </c>
      <c r="E279" s="110" t="s">
        <v>395</v>
      </c>
      <c r="F279" s="110" t="s">
        <v>80</v>
      </c>
      <c r="G279" s="110">
        <v>0.23</v>
      </c>
      <c r="H279" s="110">
        <v>1.4</v>
      </c>
      <c r="J279" s="110" t="s">
        <v>153</v>
      </c>
      <c r="M279" s="110" t="s">
        <v>695</v>
      </c>
      <c r="N279" s="110">
        <v>7.2</v>
      </c>
      <c r="O279" s="110" t="s">
        <v>395</v>
      </c>
      <c r="P279" s="110">
        <v>2.01</v>
      </c>
      <c r="Q279" s="110" t="s">
        <v>80</v>
      </c>
      <c r="R279" s="110">
        <v>10</v>
      </c>
      <c r="S279" s="110">
        <v>20</v>
      </c>
      <c r="T279" s="110" t="s">
        <v>680</v>
      </c>
    </row>
    <row r="280" spans="2:20" x14ac:dyDescent="0.25">
      <c r="B280" s="110" t="s">
        <v>696</v>
      </c>
      <c r="C280" s="110">
        <v>10.1</v>
      </c>
      <c r="D280" s="110" t="s">
        <v>83</v>
      </c>
      <c r="E280" s="110" t="s">
        <v>395</v>
      </c>
      <c r="F280" s="110" t="s">
        <v>80</v>
      </c>
      <c r="G280" s="110">
        <v>0.3</v>
      </c>
      <c r="H280" s="110">
        <v>1.8</v>
      </c>
      <c r="J280" s="110" t="s">
        <v>163</v>
      </c>
      <c r="M280" s="110" t="s">
        <v>697</v>
      </c>
      <c r="N280" s="110">
        <v>10.1</v>
      </c>
      <c r="O280" s="110" t="s">
        <v>395</v>
      </c>
      <c r="P280" s="110">
        <v>3.04</v>
      </c>
      <c r="Q280" s="110" t="s">
        <v>80</v>
      </c>
      <c r="R280" s="110">
        <v>14</v>
      </c>
      <c r="S280" s="110">
        <v>32</v>
      </c>
      <c r="T280" s="110" t="s">
        <v>86</v>
      </c>
    </row>
    <row r="281" spans="2:20" x14ac:dyDescent="0.25">
      <c r="B281" s="110" t="s">
        <v>698</v>
      </c>
      <c r="C281" s="110">
        <v>12.5</v>
      </c>
      <c r="D281" s="110" t="s">
        <v>83</v>
      </c>
      <c r="E281" s="110" t="s">
        <v>395</v>
      </c>
      <c r="F281" s="110" t="s">
        <v>80</v>
      </c>
      <c r="G281" s="110">
        <v>0.3</v>
      </c>
      <c r="H281" s="110">
        <v>2.3</v>
      </c>
      <c r="J281" s="110" t="s">
        <v>163</v>
      </c>
      <c r="M281" s="110" t="s">
        <v>699</v>
      </c>
      <c r="N281" s="110">
        <v>12.5</v>
      </c>
      <c r="O281" s="110" t="s">
        <v>395</v>
      </c>
      <c r="P281" s="110">
        <v>4.44</v>
      </c>
      <c r="Q281" s="110" t="s">
        <v>80</v>
      </c>
      <c r="R281" s="110">
        <v>20.3</v>
      </c>
      <c r="S281" s="110">
        <v>32</v>
      </c>
      <c r="T281" s="110" t="s">
        <v>86</v>
      </c>
    </row>
    <row r="282" spans="2:20" x14ac:dyDescent="0.25">
      <c r="B282" s="110" t="s">
        <v>700</v>
      </c>
      <c r="C282" s="110">
        <v>13.3</v>
      </c>
      <c r="D282" s="110" t="s">
        <v>83</v>
      </c>
      <c r="E282" s="110" t="s">
        <v>395</v>
      </c>
      <c r="F282" s="110" t="s">
        <v>80</v>
      </c>
      <c r="G282" s="110">
        <v>0.3</v>
      </c>
      <c r="H282" s="110">
        <v>2.3</v>
      </c>
      <c r="J282" s="110" t="s">
        <v>163</v>
      </c>
      <c r="M282" s="110" t="s">
        <v>701</v>
      </c>
      <c r="N282" s="110">
        <v>13.3</v>
      </c>
      <c r="O282" s="110" t="s">
        <v>395</v>
      </c>
      <c r="P282" s="110">
        <v>5.41</v>
      </c>
      <c r="Q282" s="110" t="s">
        <v>80</v>
      </c>
      <c r="R282" s="110">
        <v>24.75</v>
      </c>
      <c r="S282" s="110">
        <v>32</v>
      </c>
      <c r="T282" s="110" t="s">
        <v>86</v>
      </c>
    </row>
    <row r="283" spans="2:20" x14ac:dyDescent="0.25">
      <c r="B283" s="110" t="s">
        <v>700</v>
      </c>
      <c r="C283" s="110">
        <v>13.3</v>
      </c>
      <c r="D283" s="110" t="s">
        <v>83</v>
      </c>
      <c r="E283" s="110" t="s">
        <v>395</v>
      </c>
      <c r="F283" s="110" t="s">
        <v>80</v>
      </c>
      <c r="G283" s="110">
        <v>0.3</v>
      </c>
      <c r="H283" s="110">
        <v>2.3</v>
      </c>
      <c r="J283" s="110" t="s">
        <v>163</v>
      </c>
      <c r="M283" s="110" t="s">
        <v>702</v>
      </c>
      <c r="N283" s="110">
        <v>13.3</v>
      </c>
      <c r="O283" s="110" t="s">
        <v>395</v>
      </c>
      <c r="P283" s="110">
        <v>5.41</v>
      </c>
      <c r="Q283" s="110" t="s">
        <v>124</v>
      </c>
      <c r="R283" s="110">
        <v>14.5</v>
      </c>
      <c r="S283" s="110">
        <v>25</v>
      </c>
      <c r="T283" s="110" t="s">
        <v>86</v>
      </c>
    </row>
    <row r="284" spans="2:20" x14ac:dyDescent="0.25">
      <c r="B284" s="110" t="s">
        <v>700</v>
      </c>
      <c r="C284" s="110">
        <v>13.3</v>
      </c>
      <c r="D284" s="110" t="s">
        <v>83</v>
      </c>
      <c r="E284" s="110" t="s">
        <v>395</v>
      </c>
      <c r="F284" s="110" t="s">
        <v>80</v>
      </c>
      <c r="G284" s="110">
        <v>0.3</v>
      </c>
      <c r="H284" s="110">
        <v>2.3</v>
      </c>
      <c r="J284" s="110" t="s">
        <v>163</v>
      </c>
      <c r="M284" s="110" t="s">
        <v>703</v>
      </c>
      <c r="N284" s="110">
        <v>13.3</v>
      </c>
      <c r="O284" s="110" t="s">
        <v>395</v>
      </c>
      <c r="P284" s="110">
        <v>5.41</v>
      </c>
      <c r="Q284" s="110" t="s">
        <v>141</v>
      </c>
      <c r="R284" s="110">
        <v>8.69</v>
      </c>
      <c r="S284" s="110">
        <v>16</v>
      </c>
      <c r="T284" s="110" t="s">
        <v>86</v>
      </c>
    </row>
    <row r="285" spans="2:20" x14ac:dyDescent="0.25">
      <c r="B285" s="103"/>
      <c r="C285" s="103"/>
      <c r="D285" s="103"/>
      <c r="E285" s="103"/>
      <c r="H285" s="134"/>
      <c r="M285" s="134"/>
      <c r="N285" s="134"/>
      <c r="O285" s="134"/>
      <c r="P285" s="134"/>
      <c r="Q285" s="134"/>
      <c r="R285" s="134"/>
      <c r="S285" s="134"/>
      <c r="T285" s="134"/>
    </row>
    <row r="286" spans="2:18" x14ac:dyDescent="0.25">
      <c r="B286" s="133" t="s">
        <v>704</v>
      </c>
      <c r="C286" s="110"/>
      <c r="D286" s="110"/>
      <c r="E286" s="110"/>
      <c r="F286" s="110"/>
      <c r="G286" s="110"/>
      <c r="H286" s="110"/>
      <c r="M286" s="133" t="s">
        <v>705</v>
      </c>
      <c r="N286" s="110"/>
      <c r="O286" s="110"/>
      <c r="P286" s="110"/>
      <c r="Q286" s="110"/>
      <c r="R286" s="110"/>
    </row>
    <row r="287" spans="2:20" x14ac:dyDescent="0.25">
      <c r="B287" s="110" t="s">
        <v>678</v>
      </c>
      <c r="C287" s="110">
        <v>7.2</v>
      </c>
      <c r="D287" s="110" t="s">
        <v>261</v>
      </c>
      <c r="E287" s="110" t="s">
        <v>395</v>
      </c>
      <c r="F287" s="110" t="s">
        <v>396</v>
      </c>
      <c r="G287" s="110" t="s">
        <v>395</v>
      </c>
      <c r="H287" s="110" t="s">
        <v>395</v>
      </c>
      <c r="J287" s="110" t="s">
        <v>262</v>
      </c>
      <c r="M287" s="129" t="s">
        <v>706</v>
      </c>
      <c r="N287" s="110">
        <v>7.2</v>
      </c>
      <c r="O287" s="110" t="s">
        <v>395</v>
      </c>
      <c r="P287" s="110">
        <v>1.88</v>
      </c>
      <c r="Q287" s="110" t="s">
        <v>80</v>
      </c>
      <c r="R287" s="110">
        <v>10.4</v>
      </c>
      <c r="S287" s="110">
        <v>20</v>
      </c>
      <c r="T287" s="110" t="s">
        <v>680</v>
      </c>
    </row>
    <row r="288" spans="2:20" x14ac:dyDescent="0.25">
      <c r="B288" s="110" t="s">
        <v>683</v>
      </c>
      <c r="C288" s="110">
        <v>10.4</v>
      </c>
      <c r="D288" s="110" t="s">
        <v>261</v>
      </c>
      <c r="E288" s="110" t="s">
        <v>395</v>
      </c>
      <c r="F288" s="110" t="s">
        <v>396</v>
      </c>
      <c r="G288" s="110" t="s">
        <v>395</v>
      </c>
      <c r="H288" s="110" t="s">
        <v>395</v>
      </c>
      <c r="J288" s="110" t="s">
        <v>275</v>
      </c>
      <c r="M288" s="110" t="s">
        <v>707</v>
      </c>
      <c r="N288" s="110">
        <v>10.4</v>
      </c>
      <c r="O288" s="110" t="s">
        <v>395</v>
      </c>
      <c r="P288" s="110">
        <v>2.86</v>
      </c>
      <c r="Q288" s="110" t="s">
        <v>80</v>
      </c>
      <c r="R288" s="110">
        <v>13.2</v>
      </c>
      <c r="S288" s="110">
        <v>25</v>
      </c>
      <c r="T288" s="110" t="s">
        <v>86</v>
      </c>
    </row>
    <row r="289" spans="2:20" x14ac:dyDescent="0.25">
      <c r="B289" s="110" t="s">
        <v>685</v>
      </c>
      <c r="C289" s="110">
        <v>12.5</v>
      </c>
      <c r="D289" s="110" t="s">
        <v>261</v>
      </c>
      <c r="E289" s="110" t="s">
        <v>395</v>
      </c>
      <c r="F289" s="110" t="s">
        <v>396</v>
      </c>
      <c r="G289" s="110" t="s">
        <v>395</v>
      </c>
      <c r="H289" s="110" t="s">
        <v>395</v>
      </c>
      <c r="J289" s="110" t="s">
        <v>275</v>
      </c>
      <c r="M289" s="110" t="s">
        <v>708</v>
      </c>
      <c r="N289" s="110">
        <v>12.5</v>
      </c>
      <c r="O289" s="110" t="s">
        <v>395</v>
      </c>
      <c r="P289" s="110">
        <v>3.75</v>
      </c>
      <c r="Q289" s="110" t="s">
        <v>80</v>
      </c>
      <c r="R289" s="110">
        <v>17.35</v>
      </c>
      <c r="S289" s="110">
        <v>32</v>
      </c>
      <c r="T289" s="110" t="s">
        <v>86</v>
      </c>
    </row>
    <row r="290" spans="2:20" x14ac:dyDescent="0.25">
      <c r="B290" s="110" t="s">
        <v>687</v>
      </c>
      <c r="C290" s="110">
        <v>14</v>
      </c>
      <c r="D290" s="110" t="s">
        <v>261</v>
      </c>
      <c r="E290" s="110" t="s">
        <v>395</v>
      </c>
      <c r="F290" s="110" t="s">
        <v>396</v>
      </c>
      <c r="G290" s="110" t="s">
        <v>395</v>
      </c>
      <c r="H290" s="110" t="s">
        <v>395</v>
      </c>
      <c r="J290" s="110" t="s">
        <v>275</v>
      </c>
      <c r="M290" s="110" t="s">
        <v>709</v>
      </c>
      <c r="N290" s="110">
        <v>14</v>
      </c>
      <c r="O290" s="110" t="s">
        <v>395</v>
      </c>
      <c r="P290" s="110">
        <v>4.7</v>
      </c>
      <c r="Q290" s="110" t="s">
        <v>80</v>
      </c>
      <c r="R290" s="110">
        <v>21.8</v>
      </c>
      <c r="S290" s="110">
        <v>32</v>
      </c>
      <c r="T290" s="110" t="s">
        <v>86</v>
      </c>
    </row>
    <row r="291" spans="2:20" x14ac:dyDescent="0.25">
      <c r="B291" s="110" t="s">
        <v>689</v>
      </c>
      <c r="C291" s="110">
        <v>14</v>
      </c>
      <c r="D291" s="110" t="s">
        <v>261</v>
      </c>
      <c r="E291" s="110" t="s">
        <v>395</v>
      </c>
      <c r="F291" s="110" t="s">
        <v>396</v>
      </c>
      <c r="G291" s="110" t="s">
        <v>395</v>
      </c>
      <c r="H291" s="110" t="s">
        <v>395</v>
      </c>
      <c r="J291" s="110" t="s">
        <v>275</v>
      </c>
      <c r="M291" s="129" t="s">
        <v>710</v>
      </c>
      <c r="N291" s="110">
        <v>14</v>
      </c>
      <c r="O291" s="110" t="s">
        <v>395</v>
      </c>
      <c r="P291" s="110">
        <v>4.7</v>
      </c>
      <c r="Q291" s="110" t="s">
        <v>124</v>
      </c>
      <c r="R291" s="110">
        <v>13</v>
      </c>
      <c r="S291" s="110">
        <v>25</v>
      </c>
      <c r="T291" s="110" t="s">
        <v>86</v>
      </c>
    </row>
    <row r="292" spans="2:20" x14ac:dyDescent="0.25">
      <c r="B292" s="110" t="s">
        <v>687</v>
      </c>
      <c r="C292" s="110">
        <v>14</v>
      </c>
      <c r="D292" s="110" t="s">
        <v>261</v>
      </c>
      <c r="E292" s="110" t="s">
        <v>395</v>
      </c>
      <c r="F292" s="110" t="s">
        <v>396</v>
      </c>
      <c r="G292" s="110" t="s">
        <v>395</v>
      </c>
      <c r="H292" s="110" t="s">
        <v>395</v>
      </c>
      <c r="J292" s="110" t="s">
        <v>275</v>
      </c>
      <c r="M292" s="110" t="s">
        <v>711</v>
      </c>
      <c r="N292" s="110">
        <v>14</v>
      </c>
      <c r="O292" s="110" t="s">
        <v>395</v>
      </c>
      <c r="P292" s="110">
        <v>4.7</v>
      </c>
      <c r="Q292" s="110" t="s">
        <v>141</v>
      </c>
      <c r="R292" s="110">
        <v>7.31</v>
      </c>
      <c r="S292" s="110">
        <v>20</v>
      </c>
      <c r="T292" s="110" t="s">
        <v>86</v>
      </c>
    </row>
    <row r="293" spans="2:20" x14ac:dyDescent="0.25">
      <c r="B293" s="134"/>
      <c r="C293" s="134"/>
      <c r="D293" s="13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</row>
    <row r="294" spans="2:18" x14ac:dyDescent="0.25">
      <c r="B294" s="133" t="s">
        <v>712</v>
      </c>
      <c r="C294" s="110"/>
      <c r="D294" s="110"/>
      <c r="E294" s="110"/>
      <c r="F294" s="110"/>
      <c r="G294" s="110"/>
      <c r="H294" s="110"/>
      <c r="M294" s="133" t="s">
        <v>713</v>
      </c>
      <c r="N294" s="110"/>
      <c r="O294" s="110"/>
      <c r="P294" s="110"/>
      <c r="Q294" s="110"/>
      <c r="R294" s="110"/>
    </row>
    <row r="295" spans="2:20" x14ac:dyDescent="0.25">
      <c r="B295" s="110" t="s">
        <v>694</v>
      </c>
      <c r="C295" s="110">
        <v>7.2</v>
      </c>
      <c r="D295" s="110" t="s">
        <v>83</v>
      </c>
      <c r="E295" s="110" t="s">
        <v>395</v>
      </c>
      <c r="F295" s="110" t="s">
        <v>80</v>
      </c>
      <c r="G295" s="110">
        <v>0.23</v>
      </c>
      <c r="H295" s="110">
        <v>1.4</v>
      </c>
      <c r="J295" s="110" t="s">
        <v>153</v>
      </c>
      <c r="M295" s="110" t="s">
        <v>714</v>
      </c>
      <c r="N295" s="110">
        <v>7.2</v>
      </c>
      <c r="O295" s="110" t="s">
        <v>395</v>
      </c>
      <c r="P295" s="110">
        <v>2.1</v>
      </c>
      <c r="Q295" s="110" t="s">
        <v>80</v>
      </c>
      <c r="R295" s="110">
        <v>11.7</v>
      </c>
      <c r="S295" s="110">
        <v>20</v>
      </c>
      <c r="T295" s="110" t="s">
        <v>680</v>
      </c>
    </row>
    <row r="296" spans="2:20" x14ac:dyDescent="0.25">
      <c r="B296" s="110" t="s">
        <v>696</v>
      </c>
      <c r="C296" s="110">
        <v>10.1</v>
      </c>
      <c r="D296" s="110" t="s">
        <v>83</v>
      </c>
      <c r="E296" s="110" t="s">
        <v>395</v>
      </c>
      <c r="F296" s="110" t="s">
        <v>80</v>
      </c>
      <c r="G296" s="110">
        <v>0.3</v>
      </c>
      <c r="H296" s="110">
        <v>1.8</v>
      </c>
      <c r="J296" s="110" t="s">
        <v>163</v>
      </c>
      <c r="M296" s="110" t="s">
        <v>715</v>
      </c>
      <c r="N296" s="110">
        <v>10.1</v>
      </c>
      <c r="O296" s="110" t="s">
        <v>395</v>
      </c>
      <c r="P296" s="110">
        <v>2.85</v>
      </c>
      <c r="Q296" s="110" t="s">
        <v>80</v>
      </c>
      <c r="R296" s="110">
        <v>14.1</v>
      </c>
      <c r="S296" s="110">
        <v>25</v>
      </c>
      <c r="T296" s="110" t="s">
        <v>86</v>
      </c>
    </row>
    <row r="297" spans="2:20" x14ac:dyDescent="0.25">
      <c r="B297" s="110" t="s">
        <v>698</v>
      </c>
      <c r="C297" s="112">
        <v>12.5</v>
      </c>
      <c r="D297" s="110" t="s">
        <v>83</v>
      </c>
      <c r="E297" s="110" t="s">
        <v>395</v>
      </c>
      <c r="F297" s="110" t="s">
        <v>80</v>
      </c>
      <c r="G297" s="110">
        <v>0.3</v>
      </c>
      <c r="H297" s="110">
        <v>2.3</v>
      </c>
      <c r="J297" s="110" t="s">
        <v>163</v>
      </c>
      <c r="M297" s="110" t="s">
        <v>716</v>
      </c>
      <c r="N297" s="110">
        <v>12.5</v>
      </c>
      <c r="O297" s="110" t="s">
        <v>395</v>
      </c>
      <c r="P297" s="110">
        <v>4.3</v>
      </c>
      <c r="Q297" s="110" t="s">
        <v>80</v>
      </c>
      <c r="R297" s="110">
        <v>19.8</v>
      </c>
      <c r="S297" s="110">
        <v>32</v>
      </c>
      <c r="T297" s="110" t="s">
        <v>86</v>
      </c>
    </row>
    <row r="298" spans="2:20" x14ac:dyDescent="0.25">
      <c r="B298" s="110" t="s">
        <v>700</v>
      </c>
      <c r="C298" s="112">
        <v>13.3</v>
      </c>
      <c r="D298" s="110" t="s">
        <v>83</v>
      </c>
      <c r="E298" s="110" t="s">
        <v>395</v>
      </c>
      <c r="F298" s="110" t="s">
        <v>80</v>
      </c>
      <c r="G298" s="110">
        <v>0.3</v>
      </c>
      <c r="H298" s="110">
        <v>2.3</v>
      </c>
      <c r="J298" s="110" t="s">
        <v>163</v>
      </c>
      <c r="M298" s="110" t="s">
        <v>717</v>
      </c>
      <c r="N298" s="110">
        <v>13.3</v>
      </c>
      <c r="O298" s="110" t="s">
        <v>395</v>
      </c>
      <c r="P298" s="110">
        <v>4.86</v>
      </c>
      <c r="Q298" s="110" t="s">
        <v>80</v>
      </c>
      <c r="R298" s="110">
        <v>22.5</v>
      </c>
      <c r="S298" s="110">
        <v>32</v>
      </c>
      <c r="T298" s="110" t="s">
        <v>86</v>
      </c>
    </row>
    <row r="299" spans="2:20" x14ac:dyDescent="0.25">
      <c r="B299" s="110" t="s">
        <v>700</v>
      </c>
      <c r="C299" s="112">
        <v>13.3</v>
      </c>
      <c r="D299" s="110" t="s">
        <v>83</v>
      </c>
      <c r="E299" s="110" t="s">
        <v>395</v>
      </c>
      <c r="F299" s="110" t="s">
        <v>80</v>
      </c>
      <c r="G299" s="110">
        <v>0.3</v>
      </c>
      <c r="H299" s="110">
        <v>2.3</v>
      </c>
      <c r="J299" s="110" t="s">
        <v>163</v>
      </c>
      <c r="M299" s="110" t="s">
        <v>718</v>
      </c>
      <c r="N299" s="110">
        <v>13.3</v>
      </c>
      <c r="O299" s="110" t="s">
        <v>395</v>
      </c>
      <c r="P299" s="110">
        <v>4.9</v>
      </c>
      <c r="Q299" s="110" t="s">
        <v>124</v>
      </c>
      <c r="R299" s="110">
        <v>13.1</v>
      </c>
      <c r="S299" s="110">
        <v>25</v>
      </c>
      <c r="T299" s="110" t="s">
        <v>86</v>
      </c>
    </row>
    <row r="300" spans="2:20" x14ac:dyDescent="0.25">
      <c r="B300" s="110" t="s">
        <v>700</v>
      </c>
      <c r="C300" s="112">
        <v>13.3</v>
      </c>
      <c r="D300" s="110" t="s">
        <v>83</v>
      </c>
      <c r="E300" s="110" t="s">
        <v>395</v>
      </c>
      <c r="F300" s="110" t="s">
        <v>80</v>
      </c>
      <c r="G300" s="110">
        <v>0.3</v>
      </c>
      <c r="H300" s="110">
        <v>2.3</v>
      </c>
      <c r="J300" s="110" t="s">
        <v>163</v>
      </c>
      <c r="M300" s="110" t="s">
        <v>719</v>
      </c>
      <c r="N300" s="110">
        <v>13.3</v>
      </c>
      <c r="O300" s="110" t="s">
        <v>395</v>
      </c>
      <c r="P300" s="110">
        <v>4.89</v>
      </c>
      <c r="Q300" s="110" t="s">
        <v>141</v>
      </c>
      <c r="R300" s="110">
        <v>7.76</v>
      </c>
      <c r="S300" s="110">
        <v>16</v>
      </c>
      <c r="T300" s="110" t="s">
        <v>86</v>
      </c>
    </row>
    <row r="301" spans="13:20" x14ac:dyDescent="0.25">
      <c r="M301" s="134"/>
      <c r="N301" s="134"/>
      <c r="O301" s="134"/>
      <c r="P301" s="134"/>
      <c r="Q301" s="134"/>
      <c r="R301" s="134"/>
      <c r="S301" s="134"/>
      <c r="T301" s="134"/>
    </row>
    <row r="302" spans="13:20" x14ac:dyDescent="0.25">
      <c r="M302" s="134"/>
      <c r="N302" s="134"/>
      <c r="O302" s="134"/>
      <c r="P302" s="134"/>
      <c r="Q302" s="134"/>
      <c r="R302" s="134"/>
      <c r="S302" s="134"/>
      <c r="T302" s="134"/>
    </row>
    <row r="303" spans="13:20" x14ac:dyDescent="0.25">
      <c r="M303" s="134"/>
      <c r="N303" s="134"/>
      <c r="O303" s="134"/>
      <c r="P303" s="134"/>
      <c r="Q303" s="134"/>
      <c r="R303" s="134"/>
      <c r="S303" s="134"/>
      <c r="T303" s="134"/>
    </row>
    <row r="304" spans="13:20" x14ac:dyDescent="0.25">
      <c r="M304" s="134"/>
      <c r="N304" s="134"/>
      <c r="O304" s="134"/>
      <c r="P304" s="134"/>
      <c r="Q304" s="134"/>
      <c r="R304" s="134"/>
      <c r="S304" s="134"/>
      <c r="T304" s="134"/>
    </row>
    <row r="305" spans="13:20" x14ac:dyDescent="0.25">
      <c r="M305" s="134"/>
      <c r="N305" s="134"/>
      <c r="O305" s="134"/>
      <c r="P305" s="134"/>
      <c r="Q305" s="134"/>
      <c r="R305" s="134"/>
      <c r="S305" s="134"/>
      <c r="T305" s="134"/>
    </row>
    <row r="306" spans="13:20" x14ac:dyDescent="0.25">
      <c r="M306" s="134"/>
      <c r="N306" s="134"/>
      <c r="O306" s="134"/>
      <c r="P306" s="134"/>
      <c r="Q306" s="134"/>
      <c r="R306" s="134"/>
      <c r="S306" s="134"/>
      <c r="T306" s="134"/>
    </row>
    <row r="307" spans="13:20" x14ac:dyDescent="0.25">
      <c r="M307" s="134"/>
      <c r="N307" s="134"/>
      <c r="O307" s="134"/>
      <c r="P307" s="134"/>
      <c r="Q307" s="134"/>
      <c r="R307" s="134"/>
      <c r="S307" s="134"/>
      <c r="T307" s="134"/>
    </row>
    <row r="308" spans="13:20" x14ac:dyDescent="0.25">
      <c r="M308" s="134"/>
      <c r="N308" s="134"/>
      <c r="O308" s="134"/>
      <c r="P308" s="134"/>
      <c r="Q308" s="134"/>
      <c r="R308" s="134"/>
      <c r="S308" s="134"/>
      <c r="T308" s="134"/>
    </row>
    <row r="309" spans="13:20" x14ac:dyDescent="0.25">
      <c r="M309" s="134"/>
      <c r="N309" s="134"/>
      <c r="O309" s="134"/>
      <c r="P309" s="134"/>
      <c r="Q309" s="134"/>
      <c r="R309" s="134"/>
      <c r="S309" s="134"/>
      <c r="T309" s="134"/>
    </row>
    <row r="310" spans="13:20" x14ac:dyDescent="0.25">
      <c r="M310" s="134"/>
      <c r="N310" s="134"/>
      <c r="O310" s="134"/>
      <c r="P310" s="134"/>
      <c r="Q310" s="134"/>
      <c r="R310" s="134"/>
      <c r="S310" s="134"/>
      <c r="T310" s="134"/>
    </row>
    <row r="311" spans="13:20" x14ac:dyDescent="0.25">
      <c r="M311" s="134"/>
      <c r="N311" s="134"/>
      <c r="O311" s="134"/>
      <c r="P311" s="134"/>
      <c r="Q311" s="134"/>
      <c r="R311" s="134"/>
      <c r="S311" s="134"/>
      <c r="T311" s="134"/>
    </row>
    <row r="312" spans="13:20" x14ac:dyDescent="0.25">
      <c r="M312" s="134"/>
      <c r="N312" s="134"/>
      <c r="O312" s="134"/>
      <c r="P312" s="134"/>
      <c r="Q312" s="134"/>
      <c r="R312" s="134"/>
      <c r="S312" s="134"/>
      <c r="T312" s="134"/>
    </row>
  </sheetData>
  <mergeCells count="4">
    <mergeCell ref="B2:J2"/>
    <mergeCell ref="M2:R2"/>
    <mergeCell ref="V2:Z2"/>
    <mergeCell ref="V17:Y17"/>
  </mergeCell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49"/>
  <sheetViews>
    <sheetView workbookViewId="0" showGridLines="0" zoomScale="70" zoomScaleNormal="90" view="pageBreakPreview">
      <selection activeCell="S14" sqref="S14"/>
    </sheetView>
  </sheetViews>
  <sheetFormatPr defaultRowHeight="15.6" outlineLevelRow="0" outlineLevelCol="0" x14ac:dyDescent="0" defaultColWidth="9" customHeight="1"/>
  <cols>
    <col min="1" max="1" width="4.6640625" style="1" customWidth="1"/>
    <col min="2" max="2" width="4.6640625" style="1" hidden="1" customWidth="1"/>
    <col min="3" max="3" width="6.6640625" style="1" hidden="1" customWidth="1"/>
    <col min="4" max="4" width="27.6640625" style="1" customWidth="1"/>
    <col min="5" max="5" width="8.6640625" style="2" customWidth="1"/>
    <col min="6" max="6" width="6.6640625" style="3" customWidth="1"/>
    <col min="7" max="7" width="10.33203125" style="4" hidden="1" customWidth="1"/>
    <col min="8" max="8" width="13.109375" style="4" customWidth="1"/>
    <col min="9" max="11" width="11.6640625" style="5" customWidth="1"/>
    <col min="12" max="13" width="11.6640625" style="4" customWidth="1"/>
    <col min="14" max="14" width="18.6640625" style="5" customWidth="1"/>
    <col min="15" max="15" width="5.6640625" style="5" customWidth="1"/>
    <col min="16" max="16" width="10.6640625" style="5" customWidth="1"/>
    <col min="17" max="17" width="10.6640625" style="6" customWidth="1"/>
    <col min="18" max="18" width="8.6640625" style="6" customWidth="1"/>
    <col min="19" max="19" width="15.6640625" style="6" customWidth="1"/>
    <col min="20" max="21" width="10.6640625" style="6" customWidth="1"/>
    <col min="22" max="22" width="15.6640625" style="6" customWidth="1"/>
    <col min="23" max="23" width="10.6640625" style="5" customWidth="1"/>
    <col min="24" max="25" width="10.6640625" style="6" customWidth="1"/>
    <col min="26" max="26" width="10.77734375" style="6" customWidth="1"/>
    <col min="27" max="27" width="10.6640625" style="6" customWidth="1"/>
    <col min="28" max="28" width="10.6640625" style="5" customWidth="1"/>
    <col min="29" max="30" width="10.6640625" style="7" customWidth="1"/>
    <col min="31" max="31" width="18.6640625" style="5" customWidth="1"/>
    <col min="32" max="32" width="5.6640625" style="5" customWidth="1"/>
    <col min="33" max="33" width="10.44140625" style="6" hidden="1" customWidth="1"/>
    <col min="34" max="34" width="15.6640625" style="6" customWidth="1"/>
    <col min="35" max="35" width="7.21875" style="6" customWidth="1"/>
    <col min="36" max="36" width="7.33203125" style="8" customWidth="1"/>
    <col min="37" max="37" width="19.44140625" style="6" customWidth="1"/>
    <col min="38" max="38" width="20.6640625" style="6" customWidth="1"/>
    <col min="39" max="40" width="10.6640625" style="6" customWidth="1"/>
    <col min="41" max="41" width="15.6640625" style="6" customWidth="1"/>
    <col min="42" max="42" width="14.6640625" style="9" hidden="1" customWidth="1"/>
    <col min="43" max="43" width="10.6640625" style="6" hidden="1" customWidth="1"/>
    <col min="44" max="44" width="6.6640625" style="6" hidden="1" customWidth="1"/>
    <col min="45" max="45" width="10.44140625" style="6" hidden="1" customWidth="1"/>
    <col min="46" max="46" width="10.6640625" style="6" hidden="1" customWidth="1"/>
    <col min="47" max="47" width="13.88671875" style="6" hidden="1" customWidth="1"/>
    <col min="48" max="48" width="16.109375" style="6" customWidth="1"/>
    <col min="49" max="49" width="4.6640625" style="6" customWidth="1"/>
    <col min="50" max="50" width="10.6640625" style="6" customWidth="1"/>
    <col min="51" max="52" width="15.6640625" style="6" customWidth="1"/>
    <col min="53" max="53" width="12.6640625" style="6" hidden="1" customWidth="1"/>
    <col min="54" max="54" width="4.6640625" style="6" hidden="1" customWidth="1"/>
    <col min="55" max="55" width="10.6640625" style="6" hidden="1" customWidth="1"/>
    <col min="56" max="56" width="15.6640625" style="6" hidden="1" customWidth="1"/>
    <col min="57" max="57" width="10.6640625" style="6" hidden="1" customWidth="1"/>
    <col min="58" max="58" width="4.6640625" style="6" hidden="1" customWidth="1"/>
    <col min="59" max="16384" width="9" style="1" customWidth="1"/>
  </cols>
  <sheetData>
    <row r="1" ht="21" customHeight="1" spans="6:58" x14ac:dyDescent="0.25">
      <c r="F1" s="3"/>
      <c r="G1" s="4"/>
      <c r="H1" s="4"/>
      <c r="I1" s="5"/>
      <c r="J1" s="5"/>
      <c r="K1" s="5"/>
      <c r="L1" s="4"/>
      <c r="M1" s="4"/>
      <c r="N1" s="5"/>
      <c r="O1" s="5"/>
      <c r="P1" s="5"/>
      <c r="Q1" s="6"/>
      <c r="R1" s="6"/>
      <c r="S1" s="6"/>
      <c r="T1" s="6"/>
      <c r="U1" s="6"/>
      <c r="V1" s="6"/>
      <c r="W1" s="5"/>
      <c r="X1" s="6"/>
      <c r="Y1" s="6"/>
      <c r="Z1" s="6"/>
      <c r="AA1" s="6"/>
      <c r="AB1" s="5"/>
      <c r="AC1" s="7"/>
      <c r="AD1" s="7"/>
      <c r="AE1" s="5"/>
      <c r="AF1" s="5"/>
      <c r="AG1" s="6"/>
      <c r="AH1" s="6"/>
      <c r="AI1" s="6"/>
      <c r="AJ1" s="8"/>
      <c r="AK1" s="6"/>
      <c r="AL1" s="6"/>
      <c r="AM1" s="6"/>
      <c r="AN1" s="6"/>
      <c r="AO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</row>
    <row r="2" ht="21" customHeight="1" spans="6:58" x14ac:dyDescent="0.25">
      <c r="F2" s="3"/>
      <c r="G2" s="4"/>
      <c r="H2" s="4"/>
      <c r="I2" s="5"/>
      <c r="J2" s="5"/>
      <c r="K2" s="5"/>
      <c r="L2" s="4"/>
      <c r="M2" s="4"/>
      <c r="N2" s="5"/>
      <c r="O2" s="5"/>
      <c r="P2" s="5"/>
      <c r="Q2" s="6"/>
      <c r="R2" s="6"/>
      <c r="S2" s="6"/>
      <c r="T2" s="6"/>
      <c r="U2" s="6"/>
      <c r="V2" s="6"/>
      <c r="W2" s="5"/>
      <c r="X2" s="6"/>
      <c r="Y2" s="6"/>
      <c r="Z2" s="6"/>
      <c r="AA2" s="6"/>
      <c r="AB2" s="5"/>
      <c r="AC2" s="7"/>
      <c r="AD2" s="7"/>
      <c r="AE2" s="5"/>
      <c r="AF2" s="5"/>
      <c r="AG2" s="6"/>
      <c r="AH2" s="6"/>
      <c r="AI2" s="6"/>
      <c r="AJ2" s="8"/>
      <c r="AK2" s="6"/>
      <c r="AL2" s="6"/>
      <c r="AM2" s="6"/>
      <c r="AN2" s="6"/>
      <c r="AO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</row>
    <row r="3" ht="21" customHeight="1" spans="1:58" x14ac:dyDescent="0.25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</row>
    <row r="4" ht="21" customHeight="1" spans="1:58" x14ac:dyDescent="0.25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</row>
    <row r="5" ht="21" customHeight="1" spans="1:58" x14ac:dyDescent="0.25">
      <c r="A5" s="12" t="s">
        <v>2</v>
      </c>
      <c r="B5" s="13"/>
      <c r="C5" s="14"/>
      <c r="D5" s="14"/>
      <c r="E5" s="15"/>
      <c r="F5" s="15"/>
      <c r="G5" s="15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ht="21" customHeight="1" spans="1:58" s="17" customFormat="1" x14ac:dyDescent="0.25">
      <c r="A6" s="18" t="s">
        <v>3</v>
      </c>
      <c r="B6" s="19"/>
      <c r="C6" s="19"/>
      <c r="D6" s="19"/>
      <c r="E6" s="19"/>
      <c r="F6" s="19"/>
      <c r="G6" s="19"/>
      <c r="H6" s="20"/>
      <c r="I6" s="21"/>
      <c r="J6" s="21"/>
      <c r="K6" s="21"/>
      <c r="L6" s="20"/>
      <c r="M6" s="20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2"/>
      <c r="AD6" s="22"/>
      <c r="AE6" s="21"/>
      <c r="AF6" s="21"/>
      <c r="AG6" s="21"/>
      <c r="AH6" s="21"/>
      <c r="AI6" s="21"/>
      <c r="AJ6" s="23"/>
      <c r="AK6" s="21"/>
      <c r="AL6" s="21"/>
      <c r="AM6" s="21"/>
      <c r="AN6" s="21"/>
      <c r="AO6" s="21"/>
      <c r="AP6" s="24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</row>
    <row r="7" ht="39.75" customHeight="1" spans="1:58" x14ac:dyDescent="0.25">
      <c r="A7" s="25" t="s">
        <v>4</v>
      </c>
      <c r="B7" s="26" t="s">
        <v>5</v>
      </c>
      <c r="C7" s="27" t="s">
        <v>6</v>
      </c>
      <c r="D7" s="28" t="s">
        <v>7</v>
      </c>
      <c r="E7" s="28" t="s">
        <v>8</v>
      </c>
      <c r="F7" s="29" t="s">
        <v>9</v>
      </c>
      <c r="G7" s="29" t="s">
        <v>10</v>
      </c>
      <c r="H7" s="30" t="s">
        <v>11</v>
      </c>
      <c r="I7" s="31"/>
      <c r="J7" s="31"/>
      <c r="K7" s="31"/>
      <c r="L7" s="29" t="s">
        <v>12</v>
      </c>
      <c r="M7" s="29"/>
      <c r="N7" s="32" t="s">
        <v>13</v>
      </c>
      <c r="O7" s="33"/>
      <c r="P7" s="33"/>
      <c r="Q7" s="33"/>
      <c r="R7" s="33"/>
      <c r="S7" s="33"/>
      <c r="T7" s="33"/>
      <c r="U7" s="33"/>
      <c r="V7" s="34"/>
      <c r="W7" s="35" t="s">
        <v>14</v>
      </c>
      <c r="X7" s="34"/>
      <c r="Y7" s="36" t="s">
        <v>15</v>
      </c>
      <c r="Z7" s="25" t="s">
        <v>16</v>
      </c>
      <c r="AA7" s="35" t="s">
        <v>17</v>
      </c>
      <c r="AB7" s="33"/>
      <c r="AC7" s="33"/>
      <c r="AD7" s="34"/>
      <c r="AE7" s="37" t="s">
        <v>18</v>
      </c>
      <c r="AF7" s="37"/>
      <c r="AG7" s="28"/>
      <c r="AH7" s="28"/>
      <c r="AI7" s="28"/>
      <c r="AJ7" s="28"/>
      <c r="AK7" s="28"/>
      <c r="AL7" s="28"/>
      <c r="AM7" s="28"/>
      <c r="AN7" s="28"/>
      <c r="AO7" s="28"/>
      <c r="AP7" s="38" t="s">
        <v>19</v>
      </c>
      <c r="AQ7" s="39" t="s">
        <v>20</v>
      </c>
      <c r="AR7" s="40"/>
      <c r="AS7" s="40"/>
      <c r="AT7" s="40"/>
      <c r="AU7" s="40"/>
      <c r="AV7" s="40"/>
      <c r="AW7" s="40"/>
      <c r="AX7" s="40"/>
      <c r="AY7" s="40"/>
      <c r="AZ7" s="41"/>
      <c r="BA7" s="42" t="s">
        <v>21</v>
      </c>
      <c r="BB7" s="43"/>
      <c r="BC7" s="43"/>
      <c r="BD7" s="44"/>
      <c r="BE7" s="42" t="s">
        <v>22</v>
      </c>
      <c r="BF7" s="44"/>
    </row>
    <row r="8" ht="51.75" customHeight="1" spans="1:58" x14ac:dyDescent="0.25">
      <c r="A8" s="28"/>
      <c r="B8" s="45"/>
      <c r="C8" s="45"/>
      <c r="D8" s="28"/>
      <c r="E8" s="28" t="s">
        <v>23</v>
      </c>
      <c r="F8" s="29" t="s">
        <v>24</v>
      </c>
      <c r="G8" s="46" t="s">
        <v>25</v>
      </c>
      <c r="H8" s="47" t="s">
        <v>26</v>
      </c>
      <c r="I8" s="47" t="s">
        <v>27</v>
      </c>
      <c r="J8" s="47" t="s">
        <v>28</v>
      </c>
      <c r="K8" s="47" t="s">
        <v>29</v>
      </c>
      <c r="L8" s="47" t="s">
        <v>30</v>
      </c>
      <c r="M8" s="48" t="s">
        <v>31</v>
      </c>
      <c r="N8" s="49" t="s">
        <v>32</v>
      </c>
      <c r="O8" s="49" t="s">
        <v>33</v>
      </c>
      <c r="P8" s="48" t="s">
        <v>34</v>
      </c>
      <c r="Q8" s="48" t="s">
        <v>35</v>
      </c>
      <c r="R8" s="49" t="s">
        <v>36</v>
      </c>
      <c r="S8" s="48" t="s">
        <v>37</v>
      </c>
      <c r="T8" s="48" t="s">
        <v>38</v>
      </c>
      <c r="U8" s="35" t="s">
        <v>39</v>
      </c>
      <c r="V8" s="50" t="s">
        <v>40</v>
      </c>
      <c r="W8" s="48" t="s">
        <v>31</v>
      </c>
      <c r="X8" s="48" t="s">
        <v>30</v>
      </c>
      <c r="Y8" s="51"/>
      <c r="Z8" s="52" t="s">
        <v>41</v>
      </c>
      <c r="AA8" s="53" t="s">
        <v>27</v>
      </c>
      <c r="AB8" s="53" t="s">
        <v>42</v>
      </c>
      <c r="AC8" s="28" t="s">
        <v>29</v>
      </c>
      <c r="AD8" s="28" t="s">
        <v>43</v>
      </c>
      <c r="AE8" s="54" t="s">
        <v>44</v>
      </c>
      <c r="AF8" s="54" t="s">
        <v>45</v>
      </c>
      <c r="AG8" s="37" t="s">
        <v>34</v>
      </c>
      <c r="AH8" s="37" t="s">
        <v>35</v>
      </c>
      <c r="AI8" s="25" t="s">
        <v>36</v>
      </c>
      <c r="AJ8" s="55" t="s">
        <v>46</v>
      </c>
      <c r="AK8" s="37" t="s">
        <v>47</v>
      </c>
      <c r="AL8" s="56" t="s">
        <v>48</v>
      </c>
      <c r="AM8" s="35" t="s">
        <v>49</v>
      </c>
      <c r="AN8" s="50" t="s">
        <v>50</v>
      </c>
      <c r="AO8" s="37" t="s">
        <v>40</v>
      </c>
      <c r="AP8" s="57"/>
      <c r="AQ8" s="58" t="s">
        <v>51</v>
      </c>
      <c r="AR8" s="58" t="s">
        <v>52</v>
      </c>
      <c r="AS8" s="58" t="s">
        <v>53</v>
      </c>
      <c r="AT8" s="59" t="s">
        <v>54</v>
      </c>
      <c r="AU8" s="59" t="s">
        <v>55</v>
      </c>
      <c r="AV8" s="60" t="s">
        <v>56</v>
      </c>
      <c r="AW8" s="61" t="s">
        <v>57</v>
      </c>
      <c r="AX8" s="59" t="s">
        <v>38</v>
      </c>
      <c r="AY8" s="62" t="s">
        <v>48</v>
      </c>
      <c r="AZ8" s="63" t="s">
        <v>40</v>
      </c>
      <c r="BA8" s="42" t="s">
        <v>58</v>
      </c>
      <c r="BB8" s="64" t="s">
        <v>59</v>
      </c>
      <c r="BC8" s="65" t="s">
        <v>38</v>
      </c>
      <c r="BD8" s="42" t="s">
        <v>37</v>
      </c>
      <c r="BE8" s="42" t="s">
        <v>58</v>
      </c>
      <c r="BF8" s="64" t="s">
        <v>60</v>
      </c>
    </row>
    <row r="9" ht="30" customHeight="1" spans="1:58" x14ac:dyDescent="0.25">
      <c r="A9" s="66" t="s">
        <v>61</v>
      </c>
      <c r="B9" s="67"/>
      <c r="C9" s="68"/>
      <c r="D9" s="69"/>
      <c r="E9" s="70" t="s">
        <v>62</v>
      </c>
      <c r="F9" s="71">
        <v>58.8</v>
      </c>
      <c r="G9" s="66">
        <v>17.79</v>
      </c>
      <c r="H9" s="72"/>
      <c r="I9" s="73">
        <v>650</v>
      </c>
      <c r="J9" s="74"/>
      <c r="K9" s="72"/>
      <c r="L9" s="72"/>
      <c r="M9" s="72"/>
      <c r="N9" s="75"/>
      <c r="O9" s="76"/>
      <c r="P9" s="77"/>
      <c r="Q9" s="78"/>
      <c r="R9" s="79"/>
      <c r="S9" s="80"/>
      <c r="T9" s="81"/>
      <c r="U9" s="78"/>
      <c r="V9" s="78"/>
      <c r="W9" s="77"/>
      <c r="X9" s="66"/>
      <c r="Y9" s="79"/>
      <c r="Z9" s="79"/>
      <c r="AA9" s="82"/>
      <c r="AB9" s="77"/>
      <c r="AC9" s="82"/>
      <c r="AD9" s="83"/>
      <c r="AE9" s="84"/>
      <c r="AF9" s="85"/>
      <c r="AG9" s="86"/>
      <c r="AH9" s="87"/>
      <c r="AI9" s="80"/>
      <c r="AJ9" s="88"/>
      <c r="AK9" s="89"/>
      <c r="AL9" s="89"/>
      <c r="AM9" s="78"/>
      <c r="AN9" s="78"/>
      <c r="AO9" s="78"/>
      <c r="AP9" s="66"/>
      <c r="AQ9" s="90"/>
      <c r="AR9" s="91"/>
      <c r="AS9" s="66"/>
      <c r="AT9" s="66"/>
      <c r="AU9" s="91"/>
      <c r="AV9" s="90"/>
      <c r="AW9" s="91"/>
      <c r="AX9" s="81"/>
      <c r="AY9" s="81"/>
      <c r="AZ9" s="81"/>
      <c r="BA9" s="92"/>
      <c r="BB9" s="91"/>
      <c r="BC9" s="81"/>
      <c r="BD9" s="81"/>
      <c r="BE9" s="91"/>
      <c r="BF9" s="91"/>
    </row>
    <row r="10" ht="30" customHeight="1" spans="1:58" x14ac:dyDescent="0.25">
      <c r="A10" s="66"/>
      <c r="B10" s="67"/>
      <c r="C10" s="68"/>
      <c r="D10" s="69"/>
      <c r="E10" s="70"/>
      <c r="F10" s="71"/>
      <c r="G10" s="66"/>
      <c r="H10" s="72"/>
      <c r="I10" s="73"/>
      <c r="J10" s="74"/>
      <c r="K10" s="72"/>
      <c r="L10" s="72"/>
      <c r="M10" s="72"/>
      <c r="N10" s="75"/>
      <c r="O10" s="76"/>
      <c r="P10" s="77"/>
      <c r="Q10" s="78"/>
      <c r="R10" s="79"/>
      <c r="S10" s="80"/>
      <c r="T10" s="81"/>
      <c r="U10" s="78"/>
      <c r="V10" s="78"/>
      <c r="W10" s="77"/>
      <c r="X10" s="66"/>
      <c r="Y10" s="79"/>
      <c r="Z10" s="79"/>
      <c r="AA10" s="82"/>
      <c r="AB10" s="77"/>
      <c r="AC10" s="82"/>
      <c r="AD10" s="83"/>
      <c r="AE10" s="84"/>
      <c r="AF10" s="85"/>
      <c r="AG10" s="86"/>
      <c r="AH10" s="87"/>
      <c r="AI10" s="80"/>
      <c r="AJ10" s="88"/>
      <c r="AK10" s="89"/>
      <c r="AL10" s="89"/>
      <c r="AM10" s="78"/>
      <c r="AN10" s="78"/>
      <c r="AO10" s="78"/>
      <c r="AP10" s="66"/>
      <c r="AQ10" s="90"/>
      <c r="AR10" s="91"/>
      <c r="AS10" s="66"/>
      <c r="AT10" s="66"/>
      <c r="AU10" s="91"/>
      <c r="AV10" s="90"/>
      <c r="AW10" s="91"/>
      <c r="AX10" s="81"/>
      <c r="AY10" s="81"/>
      <c r="AZ10" s="81"/>
      <c r="BA10" s="92"/>
      <c r="BB10" s="91"/>
      <c r="BC10" s="81"/>
      <c r="BD10" s="81"/>
      <c r="BE10" s="91"/>
      <c r="BF10" s="91"/>
    </row>
    <row r="11" ht="30" customHeight="1" spans="1:58" x14ac:dyDescent="0.25">
      <c r="A11" s="66"/>
      <c r="B11" s="67"/>
      <c r="C11" s="68"/>
      <c r="D11" s="69"/>
      <c r="E11" s="70"/>
      <c r="F11" s="71"/>
      <c r="G11" s="66"/>
      <c r="H11" s="72"/>
      <c r="I11" s="73"/>
      <c r="J11" s="74"/>
      <c r="K11" s="72"/>
      <c r="L11" s="72"/>
      <c r="M11" s="72"/>
      <c r="N11" s="75"/>
      <c r="O11" s="76"/>
      <c r="P11" s="77"/>
      <c r="Q11" s="78"/>
      <c r="R11" s="79"/>
      <c r="S11" s="80"/>
      <c r="T11" s="81"/>
      <c r="U11" s="78"/>
      <c r="V11" s="78"/>
      <c r="W11" s="77"/>
      <c r="X11" s="66"/>
      <c r="Y11" s="79"/>
      <c r="Z11" s="79"/>
      <c r="AA11" s="82"/>
      <c r="AB11" s="77"/>
      <c r="AC11" s="82"/>
      <c r="AD11" s="83"/>
      <c r="AE11" s="84"/>
      <c r="AF11" s="85"/>
      <c r="AG11" s="86"/>
      <c r="AH11" s="87"/>
      <c r="AI11" s="80"/>
      <c r="AJ11" s="88"/>
      <c r="AK11" s="89"/>
      <c r="AL11" s="89"/>
      <c r="AM11" s="78"/>
      <c r="AN11" s="78"/>
      <c r="AO11" s="78"/>
      <c r="AP11" s="66"/>
      <c r="AQ11" s="90"/>
      <c r="AR11" s="91"/>
      <c r="AS11" s="66"/>
      <c r="AT11" s="66"/>
      <c r="AU11" s="91"/>
      <c r="AV11" s="90"/>
      <c r="AW11" s="91"/>
      <c r="AX11" s="81"/>
      <c r="AY11" s="81"/>
      <c r="AZ11" s="81"/>
      <c r="BA11" s="92"/>
      <c r="BB11" s="91"/>
      <c r="BC11" s="81"/>
      <c r="BD11" s="81"/>
      <c r="BE11" s="91"/>
      <c r="BF11" s="91"/>
    </row>
    <row r="12" ht="30" customHeight="1" spans="1:58" x14ac:dyDescent="0.25">
      <c r="A12" s="66"/>
      <c r="B12" s="67"/>
      <c r="C12" s="68"/>
      <c r="D12" s="69"/>
      <c r="E12" s="70"/>
      <c r="F12" s="71"/>
      <c r="G12" s="66"/>
      <c r="H12" s="72"/>
      <c r="I12" s="73"/>
      <c r="J12" s="74"/>
      <c r="K12" s="72"/>
      <c r="L12" s="72"/>
      <c r="M12" s="72"/>
      <c r="N12" s="75"/>
      <c r="O12" s="76"/>
      <c r="P12" s="77"/>
      <c r="Q12" s="78"/>
      <c r="R12" s="79"/>
      <c r="S12" s="80"/>
      <c r="T12" s="81"/>
      <c r="U12" s="78"/>
      <c r="V12" s="78"/>
      <c r="W12" s="77"/>
      <c r="X12" s="66"/>
      <c r="Y12" s="79"/>
      <c r="Z12" s="79"/>
      <c r="AA12" s="82"/>
      <c r="AB12" s="77"/>
      <c r="AC12" s="82"/>
      <c r="AD12" s="83"/>
      <c r="AE12" s="84"/>
      <c r="AF12" s="85"/>
      <c r="AG12" s="86"/>
      <c r="AH12" s="87"/>
      <c r="AI12" s="80"/>
      <c r="AJ12" s="88"/>
      <c r="AK12" s="89"/>
      <c r="AL12" s="89"/>
      <c r="AM12" s="78"/>
      <c r="AN12" s="78"/>
      <c r="AO12" s="78"/>
      <c r="AP12" s="66"/>
      <c r="AQ12" s="90"/>
      <c r="AR12" s="91"/>
      <c r="AS12" s="66"/>
      <c r="AT12" s="66"/>
      <c r="AU12" s="91"/>
      <c r="AV12" s="90"/>
      <c r="AW12" s="91"/>
      <c r="AX12" s="81"/>
      <c r="AY12" s="81"/>
      <c r="AZ12" s="81"/>
      <c r="BA12" s="92"/>
      <c r="BB12" s="91"/>
      <c r="BC12" s="81"/>
      <c r="BD12" s="81"/>
      <c r="BE12" s="91"/>
      <c r="BF12" s="91"/>
    </row>
    <row r="13" ht="30" customHeight="1" spans="1:58" x14ac:dyDescent="0.25">
      <c r="A13" s="66"/>
      <c r="B13" s="67"/>
      <c r="C13" s="68"/>
      <c r="D13" s="69"/>
      <c r="E13" s="70"/>
      <c r="F13" s="71"/>
      <c r="G13" s="66"/>
      <c r="H13" s="72"/>
      <c r="I13" s="73"/>
      <c r="J13" s="74"/>
      <c r="K13" s="72"/>
      <c r="L13" s="72"/>
      <c r="M13" s="72"/>
      <c r="N13" s="75"/>
      <c r="O13" s="76"/>
      <c r="P13" s="77"/>
      <c r="Q13" s="78"/>
      <c r="R13" s="79"/>
      <c r="S13" s="80"/>
      <c r="T13" s="81"/>
      <c r="U13" s="78"/>
      <c r="V13" s="78"/>
      <c r="W13" s="77"/>
      <c r="X13" s="66"/>
      <c r="Y13" s="79"/>
      <c r="Z13" s="79"/>
      <c r="AA13" s="82"/>
      <c r="AB13" s="77"/>
      <c r="AC13" s="82"/>
      <c r="AD13" s="83"/>
      <c r="AE13" s="84"/>
      <c r="AF13" s="85"/>
      <c r="AG13" s="86"/>
      <c r="AH13" s="87"/>
      <c r="AI13" s="80"/>
      <c r="AJ13" s="88"/>
      <c r="AK13" s="89"/>
      <c r="AL13" s="89"/>
      <c r="AM13" s="78"/>
      <c r="AN13" s="78"/>
      <c r="AO13" s="78"/>
      <c r="AP13" s="66"/>
      <c r="AQ13" s="90"/>
      <c r="AR13" s="91"/>
      <c r="AS13" s="66"/>
      <c r="AT13" s="66"/>
      <c r="AU13" s="91"/>
      <c r="AV13" s="90"/>
      <c r="AW13" s="91"/>
      <c r="AX13" s="81"/>
      <c r="AY13" s="81"/>
      <c r="AZ13" s="81"/>
      <c r="BA13" s="92"/>
      <c r="BB13" s="91"/>
      <c r="BC13" s="81"/>
      <c r="BD13" s="81"/>
      <c r="BE13" s="91"/>
      <c r="BF13" s="91"/>
    </row>
    <row r="14" ht="30" customHeight="1" spans="1:58" x14ac:dyDescent="0.25">
      <c r="A14" s="66"/>
      <c r="B14" s="67"/>
      <c r="C14" s="68"/>
      <c r="D14" s="69"/>
      <c r="E14" s="70"/>
      <c r="F14" s="71"/>
      <c r="G14" s="66"/>
      <c r="H14" s="72"/>
      <c r="I14" s="73"/>
      <c r="J14" s="74"/>
      <c r="K14" s="72"/>
      <c r="L14" s="72"/>
      <c r="M14" s="72"/>
      <c r="N14" s="75"/>
      <c r="O14" s="76"/>
      <c r="P14" s="77"/>
      <c r="Q14" s="78"/>
      <c r="R14" s="79"/>
      <c r="S14" s="80"/>
      <c r="T14" s="81"/>
      <c r="U14" s="78"/>
      <c r="V14" s="78"/>
      <c r="W14" s="77"/>
      <c r="X14" s="66"/>
      <c r="Y14" s="79"/>
      <c r="Z14" s="79"/>
      <c r="AA14" s="82"/>
      <c r="AB14" s="77"/>
      <c r="AC14" s="82"/>
      <c r="AD14" s="83"/>
      <c r="AE14" s="84"/>
      <c r="AF14" s="85"/>
      <c r="AG14" s="86"/>
      <c r="AH14" s="87"/>
      <c r="AI14" s="80"/>
      <c r="AJ14" s="88"/>
      <c r="AK14" s="89"/>
      <c r="AL14" s="89"/>
      <c r="AM14" s="78"/>
      <c r="AN14" s="78"/>
      <c r="AO14" s="78"/>
      <c r="AP14" s="66"/>
      <c r="AQ14" s="90"/>
      <c r="AR14" s="91"/>
      <c r="AS14" s="66"/>
      <c r="AT14" s="66"/>
      <c r="AU14" s="91"/>
      <c r="AV14" s="90"/>
      <c r="AW14" s="91"/>
      <c r="AX14" s="81"/>
      <c r="AY14" s="81"/>
      <c r="AZ14" s="81"/>
      <c r="BA14" s="92"/>
      <c r="BB14" s="91"/>
      <c r="BC14" s="81"/>
      <c r="BD14" s="81"/>
      <c r="BE14" s="91"/>
      <c r="BF14" s="91"/>
    </row>
    <row r="15" ht="30" customHeight="1" spans="1:58" x14ac:dyDescent="0.25">
      <c r="A15" s="66"/>
      <c r="B15" s="67"/>
      <c r="C15" s="68"/>
      <c r="D15" s="69"/>
      <c r="E15" s="70"/>
      <c r="F15" s="71"/>
      <c r="G15" s="66"/>
      <c r="H15" s="72"/>
      <c r="I15" s="73"/>
      <c r="J15" s="74"/>
      <c r="K15" s="72"/>
      <c r="L15" s="72"/>
      <c r="M15" s="72"/>
      <c r="N15" s="75"/>
      <c r="O15" s="76"/>
      <c r="P15" s="77"/>
      <c r="Q15" s="78"/>
      <c r="R15" s="79"/>
      <c r="S15" s="80"/>
      <c r="T15" s="81"/>
      <c r="U15" s="78"/>
      <c r="V15" s="78"/>
      <c r="W15" s="77"/>
      <c r="X15" s="66"/>
      <c r="Y15" s="79"/>
      <c r="Z15" s="79"/>
      <c r="AA15" s="82"/>
      <c r="AB15" s="77"/>
      <c r="AC15" s="82"/>
      <c r="AD15" s="83"/>
      <c r="AE15" s="84"/>
      <c r="AF15" s="85"/>
      <c r="AG15" s="86"/>
      <c r="AH15" s="87"/>
      <c r="AI15" s="80"/>
      <c r="AJ15" s="88"/>
      <c r="AK15" s="89"/>
      <c r="AL15" s="89"/>
      <c r="AM15" s="78"/>
      <c r="AN15" s="78"/>
      <c r="AO15" s="78"/>
      <c r="AP15" s="66"/>
      <c r="AQ15" s="90"/>
      <c r="AR15" s="91"/>
      <c r="AS15" s="66"/>
      <c r="AT15" s="66"/>
      <c r="AU15" s="91"/>
      <c r="AV15" s="90"/>
      <c r="AW15" s="91"/>
      <c r="AX15" s="81"/>
      <c r="AY15" s="81"/>
      <c r="AZ15" s="81"/>
      <c r="BA15" s="92"/>
      <c r="BB15" s="91"/>
      <c r="BC15" s="81"/>
      <c r="BD15" s="81"/>
      <c r="BE15" s="91"/>
      <c r="BF15" s="91"/>
    </row>
    <row r="16" ht="30" customHeight="1" spans="1:58" x14ac:dyDescent="0.25">
      <c r="A16" s="66"/>
      <c r="B16" s="67"/>
      <c r="C16" s="68"/>
      <c r="D16" s="69"/>
      <c r="E16" s="70"/>
      <c r="F16" s="71"/>
      <c r="G16" s="66"/>
      <c r="H16" s="72"/>
      <c r="I16" s="73"/>
      <c r="J16" s="74"/>
      <c r="K16" s="72"/>
      <c r="L16" s="72"/>
      <c r="M16" s="72"/>
      <c r="N16" s="75"/>
      <c r="O16" s="76"/>
      <c r="P16" s="77"/>
      <c r="Q16" s="78"/>
      <c r="R16" s="79"/>
      <c r="S16" s="80"/>
      <c r="T16" s="81"/>
      <c r="U16" s="78"/>
      <c r="V16" s="78"/>
      <c r="W16" s="77"/>
      <c r="X16" s="66"/>
      <c r="Y16" s="79"/>
      <c r="Z16" s="79"/>
      <c r="AA16" s="82"/>
      <c r="AB16" s="77"/>
      <c r="AC16" s="82"/>
      <c r="AD16" s="83"/>
      <c r="AE16" s="84"/>
      <c r="AF16" s="85"/>
      <c r="AG16" s="86"/>
      <c r="AH16" s="87"/>
      <c r="AI16" s="80"/>
      <c r="AJ16" s="88"/>
      <c r="AK16" s="89"/>
      <c r="AL16" s="89"/>
      <c r="AM16" s="78"/>
      <c r="AN16" s="78"/>
      <c r="AO16" s="78"/>
      <c r="AP16" s="66"/>
      <c r="AQ16" s="90"/>
      <c r="AR16" s="91"/>
      <c r="AS16" s="66"/>
      <c r="AT16" s="66"/>
      <c r="AU16" s="91"/>
      <c r="AV16" s="90"/>
      <c r="AW16" s="91"/>
      <c r="AX16" s="81"/>
      <c r="AY16" s="81"/>
      <c r="AZ16" s="81"/>
      <c r="BA16" s="92"/>
      <c r="BB16" s="91"/>
      <c r="BC16" s="81"/>
      <c r="BD16" s="81"/>
      <c r="BE16" s="91"/>
      <c r="BF16" s="91"/>
    </row>
    <row r="17" ht="30" customHeight="1" spans="1:58" x14ac:dyDescent="0.25">
      <c r="A17" s="66"/>
      <c r="B17" s="67"/>
      <c r="C17" s="68"/>
      <c r="D17" s="69"/>
      <c r="E17" s="70"/>
      <c r="F17" s="71"/>
      <c r="G17" s="66"/>
      <c r="H17" s="72"/>
      <c r="I17" s="73"/>
      <c r="J17" s="74"/>
      <c r="K17" s="72"/>
      <c r="L17" s="72"/>
      <c r="M17" s="72"/>
      <c r="N17" s="75"/>
      <c r="O17" s="76"/>
      <c r="P17" s="77"/>
      <c r="Q17" s="78"/>
      <c r="R17" s="79"/>
      <c r="S17" s="80"/>
      <c r="T17" s="81"/>
      <c r="U17" s="78"/>
      <c r="V17" s="78"/>
      <c r="W17" s="77"/>
      <c r="X17" s="66"/>
      <c r="Y17" s="79"/>
      <c r="Z17" s="79"/>
      <c r="AA17" s="82"/>
      <c r="AB17" s="77"/>
      <c r="AC17" s="82"/>
      <c r="AD17" s="83"/>
      <c r="AE17" s="84"/>
      <c r="AF17" s="85"/>
      <c r="AG17" s="86"/>
      <c r="AH17" s="87"/>
      <c r="AI17" s="80"/>
      <c r="AJ17" s="88"/>
      <c r="AK17" s="89"/>
      <c r="AL17" s="89"/>
      <c r="AM17" s="78"/>
      <c r="AN17" s="78"/>
      <c r="AO17" s="78"/>
      <c r="AP17" s="66"/>
      <c r="AQ17" s="90"/>
      <c r="AR17" s="91"/>
      <c r="AS17" s="66"/>
      <c r="AT17" s="66"/>
      <c r="AU17" s="91"/>
      <c r="AV17" s="90"/>
      <c r="AW17" s="91"/>
      <c r="AX17" s="81"/>
      <c r="AY17" s="81"/>
      <c r="AZ17" s="81"/>
      <c r="BA17" s="92"/>
      <c r="BB17" s="91"/>
      <c r="BC17" s="81"/>
      <c r="BD17" s="81"/>
      <c r="BE17" s="91"/>
      <c r="BF17" s="91"/>
    </row>
    <row r="18" ht="30.75" customHeight="1" spans="1:58" x14ac:dyDescent="0.25">
      <c r="A18" s="66"/>
      <c r="B18" s="67"/>
      <c r="C18" s="66"/>
      <c r="D18" s="93"/>
      <c r="E18" s="70"/>
      <c r="F18" s="71"/>
      <c r="G18" s="66"/>
      <c r="H18" s="94"/>
      <c r="I18" s="73"/>
      <c r="J18" s="74"/>
      <c r="K18" s="94"/>
      <c r="L18" s="94"/>
      <c r="M18" s="94"/>
      <c r="N18" s="75"/>
      <c r="O18" s="76"/>
      <c r="P18" s="77"/>
      <c r="Q18" s="78"/>
      <c r="R18" s="79"/>
      <c r="S18" s="80"/>
      <c r="T18" s="81"/>
      <c r="U18" s="78"/>
      <c r="V18" s="78"/>
      <c r="W18" s="77"/>
      <c r="X18" s="66"/>
      <c r="Y18" s="79"/>
      <c r="Z18" s="79"/>
      <c r="AA18" s="82"/>
      <c r="AB18" s="77"/>
      <c r="AC18" s="82"/>
      <c r="AD18" s="83"/>
      <c r="AE18" s="95"/>
      <c r="AF18" s="96"/>
      <c r="AG18" s="97"/>
      <c r="AH18" s="98"/>
      <c r="AI18" s="80"/>
      <c r="AJ18" s="88"/>
      <c r="AK18" s="89"/>
      <c r="AL18" s="89"/>
      <c r="AM18" s="78"/>
      <c r="AN18" s="78"/>
      <c r="AO18" s="78"/>
      <c r="AP18" s="66"/>
      <c r="AQ18" s="90"/>
      <c r="AR18" s="91"/>
      <c r="AS18" s="66"/>
      <c r="AT18" s="66"/>
      <c r="AU18" s="91"/>
      <c r="AV18" s="90"/>
      <c r="AW18" s="91"/>
      <c r="AX18" s="81"/>
      <c r="AY18" s="81"/>
      <c r="AZ18" s="81"/>
      <c r="BA18" s="92"/>
      <c r="BB18" s="91"/>
      <c r="BC18" s="81"/>
      <c r="BD18" s="81"/>
      <c r="BE18" s="91"/>
      <c r="BF18" s="91"/>
    </row>
    <row r="19" ht="30" customHeight="1" spans="1:58" x14ac:dyDescent="0.25">
      <c r="A19" s="66"/>
      <c r="B19" s="67"/>
      <c r="C19" s="66"/>
      <c r="D19" s="69"/>
      <c r="E19" s="70"/>
      <c r="F19" s="71"/>
      <c r="G19" s="66"/>
      <c r="H19" s="72"/>
      <c r="I19" s="73"/>
      <c r="J19" s="74"/>
      <c r="K19" s="72"/>
      <c r="L19" s="72"/>
      <c r="M19" s="72"/>
      <c r="N19" s="75"/>
      <c r="O19" s="76"/>
      <c r="P19" s="77"/>
      <c r="Q19" s="78"/>
      <c r="R19" s="79"/>
      <c r="S19" s="80"/>
      <c r="T19" s="81"/>
      <c r="U19" s="78"/>
      <c r="V19" s="78"/>
      <c r="W19" s="77"/>
      <c r="X19" s="66"/>
      <c r="Y19" s="79"/>
      <c r="Z19" s="79"/>
      <c r="AA19" s="82"/>
      <c r="AB19" s="77"/>
      <c r="AC19" s="82"/>
      <c r="AD19" s="83"/>
      <c r="AE19" s="95"/>
      <c r="AF19" s="96"/>
      <c r="AG19" s="97"/>
      <c r="AH19" s="98"/>
      <c r="AI19" s="80"/>
      <c r="AJ19" s="88"/>
      <c r="AK19" s="89"/>
      <c r="AL19" s="89"/>
      <c r="AM19" s="78"/>
      <c r="AN19" s="78"/>
      <c r="AO19" s="78"/>
      <c r="AP19" s="66"/>
      <c r="AQ19" s="90"/>
      <c r="AR19" s="91"/>
      <c r="AS19" s="66"/>
      <c r="AT19" s="66"/>
      <c r="AU19" s="91"/>
      <c r="AV19" s="90"/>
      <c r="AW19" s="91"/>
      <c r="AX19" s="81"/>
      <c r="AY19" s="81"/>
      <c r="AZ19" s="81"/>
      <c r="BA19" s="92"/>
      <c r="BB19" s="91"/>
      <c r="BC19" s="81"/>
      <c r="BD19" s="81"/>
      <c r="BE19" s="91"/>
      <c r="BF19" s="91"/>
    </row>
    <row r="20" ht="30" customHeight="1" spans="1:58" x14ac:dyDescent="0.25">
      <c r="A20" s="66"/>
      <c r="B20" s="67"/>
      <c r="C20" s="66"/>
      <c r="D20" s="99"/>
      <c r="E20" s="70"/>
      <c r="F20" s="71"/>
      <c r="G20" s="66"/>
      <c r="H20" s="72"/>
      <c r="I20" s="73"/>
      <c r="J20" s="74"/>
      <c r="K20" s="72"/>
      <c r="L20" s="72"/>
      <c r="M20" s="72"/>
      <c r="N20" s="75"/>
      <c r="O20" s="76"/>
      <c r="P20" s="77"/>
      <c r="Q20" s="78"/>
      <c r="R20" s="79"/>
      <c r="S20" s="80"/>
      <c r="T20" s="81"/>
      <c r="U20" s="78"/>
      <c r="V20" s="78"/>
      <c r="W20" s="77"/>
      <c r="X20" s="66"/>
      <c r="Y20" s="79"/>
      <c r="Z20" s="79"/>
      <c r="AA20" s="82"/>
      <c r="AB20" s="77"/>
      <c r="AC20" s="82"/>
      <c r="AD20" s="83"/>
      <c r="AE20" s="95"/>
      <c r="AF20" s="96"/>
      <c r="AG20" s="97"/>
      <c r="AH20" s="98"/>
      <c r="AI20" s="80"/>
      <c r="AJ20" s="88"/>
      <c r="AK20" s="89"/>
      <c r="AL20" s="89"/>
      <c r="AM20" s="78"/>
      <c r="AN20" s="78"/>
      <c r="AO20" s="78"/>
      <c r="AP20" s="66"/>
      <c r="AQ20" s="90"/>
      <c r="AR20" s="91"/>
      <c r="AS20" s="66"/>
      <c r="AT20" s="66"/>
      <c r="AU20" s="91"/>
      <c r="AV20" s="90"/>
      <c r="AW20" s="91"/>
      <c r="AX20" s="81"/>
      <c r="AY20" s="81"/>
      <c r="AZ20" s="66"/>
      <c r="BA20" s="92"/>
      <c r="BB20" s="91"/>
      <c r="BC20" s="81"/>
      <c r="BD20" s="81"/>
      <c r="BE20" s="91"/>
      <c r="BF20" s="91"/>
    </row>
    <row r="21" ht="30" customHeight="1" spans="1:58" x14ac:dyDescent="0.25">
      <c r="A21" s="66"/>
      <c r="B21" s="67"/>
      <c r="C21" s="66"/>
      <c r="D21" s="99"/>
      <c r="E21" s="70"/>
      <c r="F21" s="71"/>
      <c r="G21" s="66"/>
      <c r="H21" s="94"/>
      <c r="I21" s="73"/>
      <c r="J21" s="74"/>
      <c r="K21" s="94"/>
      <c r="L21" s="94"/>
      <c r="M21" s="94"/>
      <c r="N21" s="75"/>
      <c r="O21" s="76"/>
      <c r="P21" s="77"/>
      <c r="Q21" s="78"/>
      <c r="R21" s="79"/>
      <c r="S21" s="80"/>
      <c r="T21" s="81"/>
      <c r="U21" s="78"/>
      <c r="V21" s="78"/>
      <c r="W21" s="77"/>
      <c r="X21" s="66"/>
      <c r="Y21" s="79"/>
      <c r="Z21" s="79"/>
      <c r="AA21" s="82"/>
      <c r="AB21" s="77"/>
      <c r="AC21" s="82"/>
      <c r="AD21" s="83"/>
      <c r="AE21" s="95"/>
      <c r="AF21" s="96"/>
      <c r="AG21" s="97"/>
      <c r="AH21" s="98"/>
      <c r="AI21" s="80"/>
      <c r="AJ21" s="88"/>
      <c r="AK21" s="89"/>
      <c r="AL21" s="89"/>
      <c r="AM21" s="78"/>
      <c r="AN21" s="78"/>
      <c r="AO21" s="78"/>
      <c r="AP21" s="66"/>
      <c r="AQ21" s="90"/>
      <c r="AR21" s="91"/>
      <c r="AS21" s="66"/>
      <c r="AT21" s="66"/>
      <c r="AU21" s="91"/>
      <c r="AV21" s="90"/>
      <c r="AW21" s="91"/>
      <c r="AX21" s="81"/>
      <c r="AY21" s="81"/>
      <c r="AZ21" s="66"/>
      <c r="BA21" s="92"/>
      <c r="BB21" s="91"/>
      <c r="BC21" s="81"/>
      <c r="BD21" s="81"/>
      <c r="BE21" s="91"/>
      <c r="BF21" s="91"/>
    </row>
    <row r="22" ht="30" customHeight="1" spans="1:58" x14ac:dyDescent="0.25">
      <c r="A22" s="66"/>
      <c r="B22" s="67"/>
      <c r="C22" s="68"/>
      <c r="D22" s="69"/>
      <c r="E22" s="70"/>
      <c r="F22" s="71"/>
      <c r="G22" s="66"/>
      <c r="H22" s="72"/>
      <c r="I22" s="73"/>
      <c r="J22" s="74"/>
      <c r="K22" s="72"/>
      <c r="L22" s="72"/>
      <c r="M22" s="72"/>
      <c r="N22" s="75"/>
      <c r="O22" s="76"/>
      <c r="P22" s="77"/>
      <c r="Q22" s="78"/>
      <c r="R22" s="79"/>
      <c r="S22" s="80"/>
      <c r="T22" s="81"/>
      <c r="U22" s="78"/>
      <c r="V22" s="78"/>
      <c r="W22" s="77"/>
      <c r="X22" s="66"/>
      <c r="Y22" s="79"/>
      <c r="Z22" s="79"/>
      <c r="AA22" s="82"/>
      <c r="AB22" s="77"/>
      <c r="AC22" s="82"/>
      <c r="AD22" s="83"/>
      <c r="AE22" s="84"/>
      <c r="AF22" s="85"/>
      <c r="AG22" s="86"/>
      <c r="AH22" s="87"/>
      <c r="AI22" s="80"/>
      <c r="AJ22" s="88"/>
      <c r="AK22" s="89"/>
      <c r="AL22" s="89"/>
      <c r="AM22" s="78"/>
      <c r="AN22" s="78"/>
      <c r="AO22" s="78"/>
      <c r="AP22" s="66"/>
      <c r="AQ22" s="90"/>
      <c r="AR22" s="91"/>
      <c r="AS22" s="66"/>
      <c r="AT22" s="66"/>
      <c r="AU22" s="91"/>
      <c r="AV22" s="90"/>
      <c r="AW22" s="91"/>
      <c r="AX22" s="81"/>
      <c r="AY22" s="81"/>
      <c r="AZ22" s="81"/>
      <c r="BA22" s="92"/>
      <c r="BB22" s="91"/>
      <c r="BC22" s="81"/>
      <c r="BD22" s="81"/>
      <c r="BE22" s="91"/>
      <c r="BF22" s="91"/>
    </row>
    <row r="23" ht="30" customHeight="1" spans="1:58" x14ac:dyDescent="0.25">
      <c r="A23" s="66"/>
      <c r="B23" s="67"/>
      <c r="C23" s="68"/>
      <c r="D23" s="69"/>
      <c r="E23" s="70"/>
      <c r="F23" s="71"/>
      <c r="G23" s="66"/>
      <c r="H23" s="72"/>
      <c r="I23" s="73"/>
      <c r="J23" s="74"/>
      <c r="K23" s="72"/>
      <c r="L23" s="72"/>
      <c r="M23" s="72"/>
      <c r="N23" s="75"/>
      <c r="O23" s="76"/>
      <c r="P23" s="77"/>
      <c r="Q23" s="78"/>
      <c r="R23" s="79"/>
      <c r="S23" s="80"/>
      <c r="T23" s="81"/>
      <c r="U23" s="78"/>
      <c r="V23" s="78"/>
      <c r="W23" s="77"/>
      <c r="X23" s="66"/>
      <c r="Y23" s="79"/>
      <c r="Z23" s="79"/>
      <c r="AA23" s="82"/>
      <c r="AB23" s="77"/>
      <c r="AC23" s="82"/>
      <c r="AD23" s="83"/>
      <c r="AE23" s="84"/>
      <c r="AF23" s="85"/>
      <c r="AG23" s="86"/>
      <c r="AH23" s="87"/>
      <c r="AI23" s="80"/>
      <c r="AJ23" s="88"/>
      <c r="AK23" s="89"/>
      <c r="AL23" s="89"/>
      <c r="AM23" s="78"/>
      <c r="AN23" s="78"/>
      <c r="AO23" s="78"/>
      <c r="AP23" s="66"/>
      <c r="AQ23" s="90"/>
      <c r="AR23" s="91"/>
      <c r="AS23" s="66"/>
      <c r="AT23" s="66"/>
      <c r="AU23" s="91"/>
      <c r="AV23" s="90"/>
      <c r="AW23" s="91"/>
      <c r="AX23" s="81"/>
      <c r="AY23" s="81"/>
      <c r="AZ23" s="81"/>
      <c r="BA23" s="92"/>
      <c r="BB23" s="91"/>
      <c r="BC23" s="81"/>
      <c r="BD23" s="81"/>
      <c r="BE23" s="91"/>
      <c r="BF23" s="91"/>
    </row>
    <row r="24" ht="30" customHeight="1" spans="1:58" x14ac:dyDescent="0.25">
      <c r="A24" s="66"/>
      <c r="B24" s="67"/>
      <c r="C24" s="68"/>
      <c r="D24" s="69"/>
      <c r="E24" s="70"/>
      <c r="F24" s="71"/>
      <c r="G24" s="66"/>
      <c r="H24" s="72"/>
      <c r="I24" s="73"/>
      <c r="J24" s="74"/>
      <c r="K24" s="72"/>
      <c r="L24" s="72"/>
      <c r="M24" s="72"/>
      <c r="N24" s="75"/>
      <c r="O24" s="76"/>
      <c r="P24" s="77"/>
      <c r="Q24" s="78"/>
      <c r="R24" s="79"/>
      <c r="S24" s="80"/>
      <c r="T24" s="81"/>
      <c r="U24" s="78"/>
      <c r="V24" s="78"/>
      <c r="W24" s="77"/>
      <c r="X24" s="66"/>
      <c r="Y24" s="79"/>
      <c r="Z24" s="79"/>
      <c r="AA24" s="82"/>
      <c r="AB24" s="77"/>
      <c r="AC24" s="82"/>
      <c r="AD24" s="83"/>
      <c r="AE24" s="84"/>
      <c r="AF24" s="85"/>
      <c r="AG24" s="86"/>
      <c r="AH24" s="87"/>
      <c r="AI24" s="80"/>
      <c r="AJ24" s="88"/>
      <c r="AK24" s="89"/>
      <c r="AL24" s="89"/>
      <c r="AM24" s="78"/>
      <c r="AN24" s="78"/>
      <c r="AO24" s="78"/>
      <c r="AP24" s="66"/>
      <c r="AQ24" s="90"/>
      <c r="AR24" s="91"/>
      <c r="AS24" s="66"/>
      <c r="AT24" s="66"/>
      <c r="AU24" s="91"/>
      <c r="AV24" s="90"/>
      <c r="AW24" s="91"/>
      <c r="AX24" s="81"/>
      <c r="AY24" s="81"/>
      <c r="AZ24" s="81"/>
      <c r="BA24" s="92"/>
      <c r="BB24" s="91"/>
      <c r="BC24" s="81"/>
      <c r="BD24" s="81"/>
      <c r="BE24" s="91"/>
      <c r="BF24" s="91"/>
    </row>
    <row r="25" ht="30" customHeight="1" spans="1:58" x14ac:dyDescent="0.25">
      <c r="A25" s="66"/>
      <c r="B25" s="67"/>
      <c r="C25" s="68"/>
      <c r="D25" s="69"/>
      <c r="E25" s="70"/>
      <c r="F25" s="71"/>
      <c r="G25" s="66"/>
      <c r="H25" s="72"/>
      <c r="I25" s="73"/>
      <c r="J25" s="74"/>
      <c r="K25" s="72"/>
      <c r="L25" s="72"/>
      <c r="M25" s="72"/>
      <c r="N25" s="75"/>
      <c r="O25" s="76"/>
      <c r="P25" s="77"/>
      <c r="Q25" s="78"/>
      <c r="R25" s="79"/>
      <c r="S25" s="80"/>
      <c r="T25" s="81"/>
      <c r="U25" s="78"/>
      <c r="V25" s="78"/>
      <c r="W25" s="77"/>
      <c r="X25" s="66"/>
      <c r="Y25" s="79"/>
      <c r="Z25" s="79"/>
      <c r="AA25" s="82"/>
      <c r="AB25" s="77"/>
      <c r="AC25" s="82"/>
      <c r="AD25" s="83"/>
      <c r="AE25" s="84"/>
      <c r="AF25" s="85"/>
      <c r="AG25" s="86"/>
      <c r="AH25" s="87"/>
      <c r="AI25" s="80"/>
      <c r="AJ25" s="88"/>
      <c r="AK25" s="89"/>
      <c r="AL25" s="89"/>
      <c r="AM25" s="78"/>
      <c r="AN25" s="78"/>
      <c r="AO25" s="78"/>
      <c r="AP25" s="66"/>
      <c r="AQ25" s="90"/>
      <c r="AR25" s="91"/>
      <c r="AS25" s="66"/>
      <c r="AT25" s="66"/>
      <c r="AU25" s="91"/>
      <c r="AV25" s="90"/>
      <c r="AW25" s="91"/>
      <c r="AX25" s="81"/>
      <c r="AY25" s="81"/>
      <c r="AZ25" s="81"/>
      <c r="BA25" s="92"/>
      <c r="BB25" s="91"/>
      <c r="BC25" s="81"/>
      <c r="BD25" s="81"/>
      <c r="BE25" s="91"/>
      <c r="BF25" s="91"/>
    </row>
    <row r="26" ht="30" customHeight="1" spans="1:58" x14ac:dyDescent="0.25">
      <c r="A26" s="66"/>
      <c r="B26" s="67"/>
      <c r="C26" s="68"/>
      <c r="D26" s="69"/>
      <c r="E26" s="70"/>
      <c r="F26" s="71"/>
      <c r="G26" s="66"/>
      <c r="H26" s="72"/>
      <c r="I26" s="73"/>
      <c r="J26" s="74"/>
      <c r="K26" s="72"/>
      <c r="L26" s="72"/>
      <c r="M26" s="72"/>
      <c r="N26" s="75"/>
      <c r="O26" s="76"/>
      <c r="P26" s="77"/>
      <c r="Q26" s="78"/>
      <c r="R26" s="79"/>
      <c r="S26" s="80"/>
      <c r="T26" s="81"/>
      <c r="U26" s="78"/>
      <c r="V26" s="78"/>
      <c r="W26" s="77"/>
      <c r="X26" s="66"/>
      <c r="Y26" s="79"/>
      <c r="Z26" s="79"/>
      <c r="AA26" s="82"/>
      <c r="AB26" s="77"/>
      <c r="AC26" s="82"/>
      <c r="AD26" s="83"/>
      <c r="AE26" s="84"/>
      <c r="AF26" s="85"/>
      <c r="AG26" s="86"/>
      <c r="AH26" s="87"/>
      <c r="AI26" s="80"/>
      <c r="AJ26" s="88"/>
      <c r="AK26" s="89"/>
      <c r="AL26" s="89"/>
      <c r="AM26" s="78"/>
      <c r="AN26" s="78"/>
      <c r="AO26" s="78"/>
      <c r="AP26" s="66"/>
      <c r="AQ26" s="90"/>
      <c r="AR26" s="91"/>
      <c r="AS26" s="66"/>
      <c r="AT26" s="66"/>
      <c r="AU26" s="91"/>
      <c r="AV26" s="90"/>
      <c r="AW26" s="91"/>
      <c r="AX26" s="81"/>
      <c r="AY26" s="81"/>
      <c r="AZ26" s="81"/>
      <c r="BA26" s="92"/>
      <c r="BB26" s="91"/>
      <c r="BC26" s="81"/>
      <c r="BD26" s="81"/>
      <c r="BE26" s="91"/>
      <c r="BF26" s="91"/>
    </row>
    <row r="27" ht="30" customHeight="1" spans="1:58" x14ac:dyDescent="0.25">
      <c r="A27" s="66"/>
      <c r="B27" s="67"/>
      <c r="C27" s="68"/>
      <c r="D27" s="69"/>
      <c r="E27" s="70"/>
      <c r="F27" s="71"/>
      <c r="G27" s="66"/>
      <c r="H27" s="72"/>
      <c r="I27" s="73"/>
      <c r="J27" s="74"/>
      <c r="K27" s="72"/>
      <c r="L27" s="72"/>
      <c r="M27" s="72"/>
      <c r="N27" s="75"/>
      <c r="O27" s="76"/>
      <c r="P27" s="77"/>
      <c r="Q27" s="78"/>
      <c r="R27" s="79"/>
      <c r="S27" s="80"/>
      <c r="T27" s="81"/>
      <c r="U27" s="78"/>
      <c r="V27" s="78"/>
      <c r="W27" s="77"/>
      <c r="X27" s="66"/>
      <c r="Y27" s="79"/>
      <c r="Z27" s="79"/>
      <c r="AA27" s="82"/>
      <c r="AB27" s="77"/>
      <c r="AC27" s="82"/>
      <c r="AD27" s="83"/>
      <c r="AE27" s="84"/>
      <c r="AF27" s="85"/>
      <c r="AG27" s="86"/>
      <c r="AH27" s="87"/>
      <c r="AI27" s="80"/>
      <c r="AJ27" s="88"/>
      <c r="AK27" s="89"/>
      <c r="AL27" s="89"/>
      <c r="AM27" s="78"/>
      <c r="AN27" s="78"/>
      <c r="AO27" s="78"/>
      <c r="AP27" s="66"/>
      <c r="AQ27" s="90"/>
      <c r="AR27" s="91"/>
      <c r="AS27" s="66"/>
      <c r="AT27" s="66"/>
      <c r="AU27" s="91"/>
      <c r="AV27" s="90"/>
      <c r="AW27" s="91"/>
      <c r="AX27" s="81"/>
      <c r="AY27" s="81"/>
      <c r="AZ27" s="81"/>
      <c r="BA27" s="92"/>
      <c r="BB27" s="91"/>
      <c r="BC27" s="81"/>
      <c r="BD27" s="81"/>
      <c r="BE27" s="91"/>
      <c r="BF27" s="91"/>
    </row>
    <row r="28" ht="30" customHeight="1" spans="1:58" x14ac:dyDescent="0.25">
      <c r="A28" s="66"/>
      <c r="B28" s="67"/>
      <c r="C28" s="68"/>
      <c r="D28" s="69"/>
      <c r="E28" s="70"/>
      <c r="F28" s="71"/>
      <c r="G28" s="66"/>
      <c r="H28" s="72"/>
      <c r="I28" s="73"/>
      <c r="J28" s="74"/>
      <c r="K28" s="72"/>
      <c r="L28" s="72"/>
      <c r="M28" s="72"/>
      <c r="N28" s="75"/>
      <c r="O28" s="76"/>
      <c r="P28" s="77"/>
      <c r="Q28" s="78"/>
      <c r="R28" s="79"/>
      <c r="S28" s="80"/>
      <c r="T28" s="81"/>
      <c r="U28" s="78"/>
      <c r="V28" s="78"/>
      <c r="W28" s="77"/>
      <c r="X28" s="66"/>
      <c r="Y28" s="79"/>
      <c r="Z28" s="79"/>
      <c r="AA28" s="82"/>
      <c r="AB28" s="77"/>
      <c r="AC28" s="82"/>
      <c r="AD28" s="83"/>
      <c r="AE28" s="84"/>
      <c r="AF28" s="85"/>
      <c r="AG28" s="86"/>
      <c r="AH28" s="87"/>
      <c r="AI28" s="80"/>
      <c r="AJ28" s="88"/>
      <c r="AK28" s="89"/>
      <c r="AL28" s="89"/>
      <c r="AM28" s="78"/>
      <c r="AN28" s="78"/>
      <c r="AO28" s="78"/>
      <c r="AP28" s="66"/>
      <c r="AQ28" s="90"/>
      <c r="AR28" s="91"/>
      <c r="AS28" s="66"/>
      <c r="AT28" s="66"/>
      <c r="AU28" s="91"/>
      <c r="AV28" s="90"/>
      <c r="AW28" s="91"/>
      <c r="AX28" s="81"/>
      <c r="AY28" s="81"/>
      <c r="AZ28" s="81"/>
      <c r="BA28" s="92"/>
      <c r="BB28" s="91"/>
      <c r="BC28" s="81"/>
      <c r="BD28" s="81"/>
      <c r="BE28" s="91"/>
      <c r="BF28" s="91"/>
    </row>
    <row r="29" ht="30" customHeight="1" spans="1:58" x14ac:dyDescent="0.25">
      <c r="A29" s="66"/>
      <c r="B29" s="67"/>
      <c r="C29" s="68"/>
      <c r="D29" s="69"/>
      <c r="E29" s="70"/>
      <c r="F29" s="71"/>
      <c r="G29" s="66"/>
      <c r="H29" s="72"/>
      <c r="I29" s="73"/>
      <c r="J29" s="74"/>
      <c r="K29" s="72"/>
      <c r="L29" s="72"/>
      <c r="M29" s="72"/>
      <c r="N29" s="75"/>
      <c r="O29" s="76"/>
      <c r="P29" s="77"/>
      <c r="Q29" s="78"/>
      <c r="R29" s="79"/>
      <c r="S29" s="80"/>
      <c r="T29" s="81"/>
      <c r="U29" s="78"/>
      <c r="V29" s="78"/>
      <c r="W29" s="77"/>
      <c r="X29" s="66"/>
      <c r="Y29" s="79"/>
      <c r="Z29" s="79"/>
      <c r="AA29" s="82"/>
      <c r="AB29" s="77"/>
      <c r="AC29" s="82"/>
      <c r="AD29" s="83"/>
      <c r="AE29" s="84"/>
      <c r="AF29" s="85"/>
      <c r="AG29" s="86"/>
      <c r="AH29" s="87"/>
      <c r="AI29" s="80"/>
      <c r="AJ29" s="88"/>
      <c r="AK29" s="89"/>
      <c r="AL29" s="89"/>
      <c r="AM29" s="78"/>
      <c r="AN29" s="78"/>
      <c r="AO29" s="78"/>
      <c r="AP29" s="66"/>
      <c r="AQ29" s="90"/>
      <c r="AR29" s="91"/>
      <c r="AS29" s="66"/>
      <c r="AT29" s="66"/>
      <c r="AU29" s="91"/>
      <c r="AV29" s="90"/>
      <c r="AW29" s="91"/>
      <c r="AX29" s="81"/>
      <c r="AY29" s="81"/>
      <c r="AZ29" s="81"/>
      <c r="BA29" s="92"/>
      <c r="BB29" s="91"/>
      <c r="BC29" s="81"/>
      <c r="BD29" s="81"/>
      <c r="BE29" s="91"/>
      <c r="BF29" s="91"/>
    </row>
    <row r="30" ht="30.75" customHeight="1" spans="1:58" x14ac:dyDescent="0.25">
      <c r="A30" s="66"/>
      <c r="B30" s="67"/>
      <c r="C30" s="66"/>
      <c r="D30" s="93"/>
      <c r="E30" s="70"/>
      <c r="F30" s="71"/>
      <c r="G30" s="66"/>
      <c r="H30" s="94"/>
      <c r="I30" s="73"/>
      <c r="J30" s="74"/>
      <c r="K30" s="94"/>
      <c r="L30" s="94"/>
      <c r="M30" s="94"/>
      <c r="N30" s="75"/>
      <c r="O30" s="76"/>
      <c r="P30" s="77"/>
      <c r="Q30" s="78"/>
      <c r="R30" s="79"/>
      <c r="S30" s="80"/>
      <c r="T30" s="81"/>
      <c r="U30" s="78"/>
      <c r="V30" s="78"/>
      <c r="W30" s="77"/>
      <c r="X30" s="66"/>
      <c r="Y30" s="79"/>
      <c r="Z30" s="79"/>
      <c r="AA30" s="82"/>
      <c r="AB30" s="77"/>
      <c r="AC30" s="82"/>
      <c r="AD30" s="83"/>
      <c r="AE30" s="95"/>
      <c r="AF30" s="96"/>
      <c r="AG30" s="97"/>
      <c r="AH30" s="98"/>
      <c r="AI30" s="80"/>
      <c r="AJ30" s="88"/>
      <c r="AK30" s="89"/>
      <c r="AL30" s="89"/>
      <c r="AM30" s="78"/>
      <c r="AN30" s="78"/>
      <c r="AO30" s="78"/>
      <c r="AP30" s="66"/>
      <c r="AQ30" s="90"/>
      <c r="AR30" s="91"/>
      <c r="AS30" s="66"/>
      <c r="AT30" s="66"/>
      <c r="AU30" s="91"/>
      <c r="AV30" s="90"/>
      <c r="AW30" s="91"/>
      <c r="AX30" s="81"/>
      <c r="AY30" s="81"/>
      <c r="AZ30" s="81"/>
      <c r="BA30" s="92"/>
      <c r="BB30" s="91"/>
      <c r="BC30" s="81"/>
      <c r="BD30" s="81"/>
      <c r="BE30" s="91"/>
      <c r="BF30" s="91"/>
    </row>
    <row r="31" ht="30" customHeight="1" spans="1:58" x14ac:dyDescent="0.25">
      <c r="A31" s="66"/>
      <c r="B31" s="67"/>
      <c r="C31" s="66"/>
      <c r="D31" s="69"/>
      <c r="E31" s="70"/>
      <c r="F31" s="71"/>
      <c r="G31" s="66"/>
      <c r="H31" s="72"/>
      <c r="I31" s="73"/>
      <c r="J31" s="74"/>
      <c r="K31" s="72"/>
      <c r="L31" s="72"/>
      <c r="M31" s="72"/>
      <c r="N31" s="75"/>
      <c r="O31" s="76"/>
      <c r="P31" s="77"/>
      <c r="Q31" s="78"/>
      <c r="R31" s="79"/>
      <c r="S31" s="80"/>
      <c r="T31" s="81"/>
      <c r="U31" s="78"/>
      <c r="V31" s="78"/>
      <c r="W31" s="77"/>
      <c r="X31" s="66"/>
      <c r="Y31" s="79"/>
      <c r="Z31" s="79"/>
      <c r="AA31" s="82"/>
      <c r="AB31" s="77"/>
      <c r="AC31" s="82"/>
      <c r="AD31" s="83"/>
      <c r="AE31" s="95"/>
      <c r="AF31" s="96"/>
      <c r="AG31" s="97"/>
      <c r="AH31" s="98"/>
      <c r="AI31" s="80"/>
      <c r="AJ31" s="88"/>
      <c r="AK31" s="89"/>
      <c r="AL31" s="89"/>
      <c r="AM31" s="78"/>
      <c r="AN31" s="78"/>
      <c r="AO31" s="78"/>
      <c r="AP31" s="66"/>
      <c r="AQ31" s="90"/>
      <c r="AR31" s="91"/>
      <c r="AS31" s="66"/>
      <c r="AT31" s="66"/>
      <c r="AU31" s="91"/>
      <c r="AV31" s="90"/>
      <c r="AW31" s="91"/>
      <c r="AX31" s="81"/>
      <c r="AY31" s="81"/>
      <c r="AZ31" s="81"/>
      <c r="BA31" s="92"/>
      <c r="BB31" s="91"/>
      <c r="BC31" s="81"/>
      <c r="BD31" s="81"/>
      <c r="BE31" s="91"/>
      <c r="BF31" s="91"/>
    </row>
    <row r="32" ht="30" customHeight="1" spans="1:58" x14ac:dyDescent="0.25">
      <c r="A32" s="66"/>
      <c r="B32" s="67"/>
      <c r="C32" s="66"/>
      <c r="D32" s="99"/>
      <c r="E32" s="70"/>
      <c r="F32" s="71"/>
      <c r="G32" s="66"/>
      <c r="H32" s="72"/>
      <c r="I32" s="73"/>
      <c r="J32" s="74"/>
      <c r="K32" s="72"/>
      <c r="L32" s="72"/>
      <c r="M32" s="72"/>
      <c r="N32" s="75"/>
      <c r="O32" s="76"/>
      <c r="P32" s="77"/>
      <c r="Q32" s="78"/>
      <c r="R32" s="79"/>
      <c r="S32" s="80"/>
      <c r="T32" s="81"/>
      <c r="U32" s="78"/>
      <c r="V32" s="78"/>
      <c r="W32" s="77"/>
      <c r="X32" s="66"/>
      <c r="Y32" s="79"/>
      <c r="Z32" s="79"/>
      <c r="AA32" s="82"/>
      <c r="AB32" s="77"/>
      <c r="AC32" s="82"/>
      <c r="AD32" s="83"/>
      <c r="AE32" s="95"/>
      <c r="AF32" s="96"/>
      <c r="AG32" s="97"/>
      <c r="AH32" s="98"/>
      <c r="AI32" s="80"/>
      <c r="AJ32" s="88"/>
      <c r="AK32" s="89"/>
      <c r="AL32" s="89"/>
      <c r="AM32" s="78"/>
      <c r="AN32" s="78"/>
      <c r="AO32" s="78"/>
      <c r="AP32" s="66"/>
      <c r="AQ32" s="90"/>
      <c r="AR32" s="91"/>
      <c r="AS32" s="66"/>
      <c r="AT32" s="66"/>
      <c r="AU32" s="91"/>
      <c r="AV32" s="90"/>
      <c r="AW32" s="91"/>
      <c r="AX32" s="81"/>
      <c r="AY32" s="81"/>
      <c r="AZ32" s="66"/>
      <c r="BA32" s="92"/>
      <c r="BB32" s="91"/>
      <c r="BC32" s="81"/>
      <c r="BD32" s="81"/>
      <c r="BE32" s="91"/>
      <c r="BF32" s="91"/>
    </row>
    <row r="33" ht="30" customHeight="1" spans="1:58" x14ac:dyDescent="0.25">
      <c r="A33" s="66"/>
      <c r="B33" s="67"/>
      <c r="C33" s="66"/>
      <c r="D33" s="99"/>
      <c r="E33" s="70"/>
      <c r="F33" s="71"/>
      <c r="G33" s="66"/>
      <c r="H33" s="94"/>
      <c r="I33" s="73"/>
      <c r="J33" s="74"/>
      <c r="K33" s="94"/>
      <c r="L33" s="94"/>
      <c r="M33" s="94"/>
      <c r="N33" s="75"/>
      <c r="O33" s="76"/>
      <c r="P33" s="77"/>
      <c r="Q33" s="78"/>
      <c r="R33" s="79"/>
      <c r="S33" s="80"/>
      <c r="T33" s="81"/>
      <c r="U33" s="78"/>
      <c r="V33" s="78"/>
      <c r="W33" s="77"/>
      <c r="X33" s="66"/>
      <c r="Y33" s="79"/>
      <c r="Z33" s="79"/>
      <c r="AA33" s="82"/>
      <c r="AB33" s="77"/>
      <c r="AC33" s="82"/>
      <c r="AD33" s="83"/>
      <c r="AE33" s="95"/>
      <c r="AF33" s="96"/>
      <c r="AG33" s="97"/>
      <c r="AH33" s="98"/>
      <c r="AI33" s="80"/>
      <c r="AJ33" s="88"/>
      <c r="AK33" s="89"/>
      <c r="AL33" s="89"/>
      <c r="AM33" s="78"/>
      <c r="AN33" s="78"/>
      <c r="AO33" s="78"/>
      <c r="AP33" s="66"/>
      <c r="AQ33" s="90"/>
      <c r="AR33" s="91"/>
      <c r="AS33" s="66"/>
      <c r="AT33" s="66"/>
      <c r="AU33" s="91"/>
      <c r="AV33" s="90"/>
      <c r="AW33" s="91"/>
      <c r="AX33" s="81"/>
      <c r="AY33" s="81"/>
      <c r="AZ33" s="66"/>
      <c r="BA33" s="92"/>
      <c r="BB33" s="91"/>
      <c r="BC33" s="81"/>
      <c r="BD33" s="81"/>
      <c r="BE33" s="91"/>
      <c r="BF33" s="91"/>
    </row>
    <row r="34" ht="30" customHeight="1" spans="1:58" x14ac:dyDescent="0.25">
      <c r="A34" s="66"/>
      <c r="B34" s="67"/>
      <c r="C34" s="68"/>
      <c r="D34" s="69"/>
      <c r="E34" s="70"/>
      <c r="F34" s="71"/>
      <c r="G34" s="66"/>
      <c r="H34" s="72"/>
      <c r="I34" s="73"/>
      <c r="J34" s="74"/>
      <c r="K34" s="72"/>
      <c r="L34" s="72"/>
      <c r="M34" s="72"/>
      <c r="N34" s="75"/>
      <c r="O34" s="76"/>
      <c r="P34" s="77"/>
      <c r="Q34" s="78"/>
      <c r="R34" s="79"/>
      <c r="S34" s="80"/>
      <c r="T34" s="81"/>
      <c r="U34" s="78"/>
      <c r="V34" s="78"/>
      <c r="W34" s="77"/>
      <c r="X34" s="66"/>
      <c r="Y34" s="79"/>
      <c r="Z34" s="79"/>
      <c r="AA34" s="82"/>
      <c r="AB34" s="77"/>
      <c r="AC34" s="82"/>
      <c r="AD34" s="83"/>
      <c r="AE34" s="84"/>
      <c r="AF34" s="85"/>
      <c r="AG34" s="86"/>
      <c r="AH34" s="87"/>
      <c r="AI34" s="80"/>
      <c r="AJ34" s="88"/>
      <c r="AK34" s="89"/>
      <c r="AL34" s="89"/>
      <c r="AM34" s="78"/>
      <c r="AN34" s="78"/>
      <c r="AO34" s="78"/>
      <c r="AP34" s="66"/>
      <c r="AQ34" s="90"/>
      <c r="AR34" s="91"/>
      <c r="AS34" s="66"/>
      <c r="AT34" s="66"/>
      <c r="AU34" s="91"/>
      <c r="AV34" s="90"/>
      <c r="AW34" s="91"/>
      <c r="AX34" s="81"/>
      <c r="AY34" s="81"/>
      <c r="AZ34" s="81"/>
      <c r="BA34" s="92"/>
      <c r="BB34" s="91"/>
      <c r="BC34" s="81"/>
      <c r="BD34" s="81"/>
      <c r="BE34" s="91"/>
      <c r="BF34" s="91"/>
    </row>
    <row r="35" ht="30" customHeight="1" spans="1:58" x14ac:dyDescent="0.25">
      <c r="A35" s="66"/>
      <c r="B35" s="67"/>
      <c r="C35" s="68"/>
      <c r="D35" s="69"/>
      <c r="E35" s="70"/>
      <c r="F35" s="71"/>
      <c r="G35" s="66"/>
      <c r="H35" s="72"/>
      <c r="I35" s="73"/>
      <c r="J35" s="74"/>
      <c r="K35" s="72"/>
      <c r="L35" s="72"/>
      <c r="M35" s="72"/>
      <c r="N35" s="75"/>
      <c r="O35" s="76"/>
      <c r="P35" s="77"/>
      <c r="Q35" s="78"/>
      <c r="R35" s="79"/>
      <c r="S35" s="80"/>
      <c r="T35" s="81"/>
      <c r="U35" s="78"/>
      <c r="V35" s="78"/>
      <c r="W35" s="77"/>
      <c r="X35" s="66"/>
      <c r="Y35" s="79"/>
      <c r="Z35" s="79"/>
      <c r="AA35" s="82"/>
      <c r="AB35" s="77"/>
      <c r="AC35" s="82"/>
      <c r="AD35" s="83"/>
      <c r="AE35" s="84"/>
      <c r="AF35" s="85"/>
      <c r="AG35" s="86"/>
      <c r="AH35" s="87"/>
      <c r="AI35" s="80"/>
      <c r="AJ35" s="88"/>
      <c r="AK35" s="89"/>
      <c r="AL35" s="89"/>
      <c r="AM35" s="78"/>
      <c r="AN35" s="78"/>
      <c r="AO35" s="78"/>
      <c r="AP35" s="66"/>
      <c r="AQ35" s="90"/>
      <c r="AR35" s="91"/>
      <c r="AS35" s="66"/>
      <c r="AT35" s="66"/>
      <c r="AU35" s="91"/>
      <c r="AV35" s="90"/>
      <c r="AW35" s="91"/>
      <c r="AX35" s="81"/>
      <c r="AY35" s="81"/>
      <c r="AZ35" s="81"/>
      <c r="BA35" s="92"/>
      <c r="BB35" s="91"/>
      <c r="BC35" s="81"/>
      <c r="BD35" s="81"/>
      <c r="BE35" s="91"/>
      <c r="BF35" s="91"/>
    </row>
    <row r="36" ht="30" customHeight="1" spans="1:58" x14ac:dyDescent="0.25">
      <c r="A36" s="66"/>
      <c r="B36" s="67"/>
      <c r="C36" s="68"/>
      <c r="D36" s="69"/>
      <c r="E36" s="70"/>
      <c r="F36" s="71"/>
      <c r="G36" s="66"/>
      <c r="H36" s="72"/>
      <c r="I36" s="73"/>
      <c r="J36" s="74"/>
      <c r="K36" s="72"/>
      <c r="L36" s="72"/>
      <c r="M36" s="72"/>
      <c r="N36" s="75"/>
      <c r="O36" s="76"/>
      <c r="P36" s="77"/>
      <c r="Q36" s="78"/>
      <c r="R36" s="79"/>
      <c r="S36" s="80"/>
      <c r="T36" s="81"/>
      <c r="U36" s="78"/>
      <c r="V36" s="78"/>
      <c r="W36" s="77"/>
      <c r="X36" s="66"/>
      <c r="Y36" s="79"/>
      <c r="Z36" s="79"/>
      <c r="AA36" s="82"/>
      <c r="AB36" s="77"/>
      <c r="AC36" s="82"/>
      <c r="AD36" s="83"/>
      <c r="AE36" s="84"/>
      <c r="AF36" s="85"/>
      <c r="AG36" s="86"/>
      <c r="AH36" s="87"/>
      <c r="AI36" s="80"/>
      <c r="AJ36" s="88"/>
      <c r="AK36" s="89"/>
      <c r="AL36" s="89"/>
      <c r="AM36" s="78"/>
      <c r="AN36" s="78"/>
      <c r="AO36" s="78"/>
      <c r="AP36" s="66"/>
      <c r="AQ36" s="90"/>
      <c r="AR36" s="91"/>
      <c r="AS36" s="66"/>
      <c r="AT36" s="66"/>
      <c r="AU36" s="91"/>
      <c r="AV36" s="90"/>
      <c r="AW36" s="91"/>
      <c r="AX36" s="81"/>
      <c r="AY36" s="81"/>
      <c r="AZ36" s="81"/>
      <c r="BA36" s="92"/>
      <c r="BB36" s="91"/>
      <c r="BC36" s="81"/>
      <c r="BD36" s="81"/>
      <c r="BE36" s="91"/>
      <c r="BF36" s="91"/>
    </row>
    <row r="37" ht="30" customHeight="1" spans="1:58" x14ac:dyDescent="0.25">
      <c r="A37" s="66"/>
      <c r="B37" s="67"/>
      <c r="C37" s="68"/>
      <c r="D37" s="69"/>
      <c r="E37" s="70"/>
      <c r="F37" s="71"/>
      <c r="G37" s="66"/>
      <c r="H37" s="72"/>
      <c r="I37" s="73"/>
      <c r="J37" s="74"/>
      <c r="K37" s="72"/>
      <c r="L37" s="72"/>
      <c r="M37" s="72"/>
      <c r="N37" s="75"/>
      <c r="O37" s="76"/>
      <c r="P37" s="77"/>
      <c r="Q37" s="78"/>
      <c r="R37" s="79"/>
      <c r="S37" s="80"/>
      <c r="T37" s="81"/>
      <c r="U37" s="78"/>
      <c r="V37" s="78"/>
      <c r="W37" s="77"/>
      <c r="X37" s="66"/>
      <c r="Y37" s="79"/>
      <c r="Z37" s="79"/>
      <c r="AA37" s="82"/>
      <c r="AB37" s="77"/>
      <c r="AC37" s="82"/>
      <c r="AD37" s="83"/>
      <c r="AE37" s="84"/>
      <c r="AF37" s="85"/>
      <c r="AG37" s="86"/>
      <c r="AH37" s="87"/>
      <c r="AI37" s="80"/>
      <c r="AJ37" s="88"/>
      <c r="AK37" s="89"/>
      <c r="AL37" s="89"/>
      <c r="AM37" s="78"/>
      <c r="AN37" s="78"/>
      <c r="AO37" s="78"/>
      <c r="AP37" s="66"/>
      <c r="AQ37" s="90"/>
      <c r="AR37" s="91"/>
      <c r="AS37" s="66"/>
      <c r="AT37" s="66"/>
      <c r="AU37" s="91"/>
      <c r="AV37" s="90"/>
      <c r="AW37" s="91"/>
      <c r="AX37" s="81"/>
      <c r="AY37" s="81"/>
      <c r="AZ37" s="81"/>
      <c r="BA37" s="92"/>
      <c r="BB37" s="91"/>
      <c r="BC37" s="81"/>
      <c r="BD37" s="81"/>
      <c r="BE37" s="91"/>
      <c r="BF37" s="91"/>
    </row>
    <row r="38" ht="30" customHeight="1" spans="1:58" x14ac:dyDescent="0.25">
      <c r="A38" s="66"/>
      <c r="B38" s="67"/>
      <c r="C38" s="68"/>
      <c r="D38" s="69"/>
      <c r="E38" s="70"/>
      <c r="F38" s="71"/>
      <c r="G38" s="66"/>
      <c r="H38" s="72"/>
      <c r="I38" s="73"/>
      <c r="J38" s="74"/>
      <c r="K38" s="72"/>
      <c r="L38" s="72"/>
      <c r="M38" s="72"/>
      <c r="N38" s="75"/>
      <c r="O38" s="76"/>
      <c r="P38" s="77"/>
      <c r="Q38" s="78"/>
      <c r="R38" s="79"/>
      <c r="S38" s="80"/>
      <c r="T38" s="81"/>
      <c r="U38" s="78"/>
      <c r="V38" s="78"/>
      <c r="W38" s="77"/>
      <c r="X38" s="66"/>
      <c r="Y38" s="79"/>
      <c r="Z38" s="79"/>
      <c r="AA38" s="82"/>
      <c r="AB38" s="77"/>
      <c r="AC38" s="82"/>
      <c r="AD38" s="83"/>
      <c r="AE38" s="84"/>
      <c r="AF38" s="85"/>
      <c r="AG38" s="86"/>
      <c r="AH38" s="87"/>
      <c r="AI38" s="80"/>
      <c r="AJ38" s="88"/>
      <c r="AK38" s="89"/>
      <c r="AL38" s="89"/>
      <c r="AM38" s="78"/>
      <c r="AN38" s="78"/>
      <c r="AO38" s="78"/>
      <c r="AP38" s="66"/>
      <c r="AQ38" s="90"/>
      <c r="AR38" s="91"/>
      <c r="AS38" s="66"/>
      <c r="AT38" s="66"/>
      <c r="AU38" s="91"/>
      <c r="AV38" s="90"/>
      <c r="AW38" s="91"/>
      <c r="AX38" s="81"/>
      <c r="AY38" s="81"/>
      <c r="AZ38" s="81"/>
      <c r="BA38" s="92"/>
      <c r="BB38" s="91"/>
      <c r="BC38" s="81"/>
      <c r="BD38" s="81"/>
      <c r="BE38" s="91"/>
      <c r="BF38" s="91"/>
    </row>
    <row r="39" ht="30" customHeight="1" spans="1:58" x14ac:dyDescent="0.25">
      <c r="A39" s="66"/>
      <c r="B39" s="67"/>
      <c r="C39" s="68"/>
      <c r="D39" s="69"/>
      <c r="E39" s="70"/>
      <c r="F39" s="71"/>
      <c r="G39" s="66"/>
      <c r="H39" s="72"/>
      <c r="I39" s="73"/>
      <c r="J39" s="74"/>
      <c r="K39" s="72"/>
      <c r="L39" s="72"/>
      <c r="M39" s="72"/>
      <c r="N39" s="75"/>
      <c r="O39" s="76"/>
      <c r="P39" s="77"/>
      <c r="Q39" s="78"/>
      <c r="R39" s="79"/>
      <c r="S39" s="80"/>
      <c r="T39" s="81"/>
      <c r="U39" s="78"/>
      <c r="V39" s="78"/>
      <c r="W39" s="77"/>
      <c r="X39" s="66"/>
      <c r="Y39" s="79"/>
      <c r="Z39" s="79"/>
      <c r="AA39" s="82"/>
      <c r="AB39" s="77"/>
      <c r="AC39" s="82"/>
      <c r="AD39" s="83"/>
      <c r="AE39" s="84"/>
      <c r="AF39" s="85"/>
      <c r="AG39" s="86"/>
      <c r="AH39" s="87"/>
      <c r="AI39" s="80"/>
      <c r="AJ39" s="88"/>
      <c r="AK39" s="89"/>
      <c r="AL39" s="89"/>
      <c r="AM39" s="78"/>
      <c r="AN39" s="78"/>
      <c r="AO39" s="78"/>
      <c r="AP39" s="66"/>
      <c r="AQ39" s="90"/>
      <c r="AR39" s="91"/>
      <c r="AS39" s="66"/>
      <c r="AT39" s="66"/>
      <c r="AU39" s="91"/>
      <c r="AV39" s="90"/>
      <c r="AW39" s="91"/>
      <c r="AX39" s="81"/>
      <c r="AY39" s="81"/>
      <c r="AZ39" s="81"/>
      <c r="BA39" s="92"/>
      <c r="BB39" s="91"/>
      <c r="BC39" s="81"/>
      <c r="BD39" s="81"/>
      <c r="BE39" s="91"/>
      <c r="BF39" s="91"/>
    </row>
    <row r="40" ht="30" customHeight="1" spans="1:58" x14ac:dyDescent="0.25">
      <c r="A40" s="66"/>
      <c r="B40" s="67"/>
      <c r="C40" s="68"/>
      <c r="D40" s="69"/>
      <c r="E40" s="70"/>
      <c r="F40" s="71"/>
      <c r="G40" s="66"/>
      <c r="H40" s="72"/>
      <c r="I40" s="73"/>
      <c r="J40" s="74"/>
      <c r="K40" s="72"/>
      <c r="L40" s="72"/>
      <c r="M40" s="72"/>
      <c r="N40" s="75"/>
      <c r="O40" s="76"/>
      <c r="P40" s="77"/>
      <c r="Q40" s="78"/>
      <c r="R40" s="79"/>
      <c r="S40" s="80"/>
      <c r="T40" s="81"/>
      <c r="U40" s="78"/>
      <c r="V40" s="78"/>
      <c r="W40" s="77"/>
      <c r="X40" s="66"/>
      <c r="Y40" s="79"/>
      <c r="Z40" s="79"/>
      <c r="AA40" s="82"/>
      <c r="AB40" s="77"/>
      <c r="AC40" s="82"/>
      <c r="AD40" s="83"/>
      <c r="AE40" s="84"/>
      <c r="AF40" s="85"/>
      <c r="AG40" s="86"/>
      <c r="AH40" s="87"/>
      <c r="AI40" s="80"/>
      <c r="AJ40" s="88"/>
      <c r="AK40" s="89"/>
      <c r="AL40" s="89"/>
      <c r="AM40" s="78"/>
      <c r="AN40" s="78"/>
      <c r="AO40" s="78"/>
      <c r="AP40" s="66"/>
      <c r="AQ40" s="90"/>
      <c r="AR40" s="91"/>
      <c r="AS40" s="66"/>
      <c r="AT40" s="66"/>
      <c r="AU40" s="91"/>
      <c r="AV40" s="90"/>
      <c r="AW40" s="91"/>
      <c r="AX40" s="81"/>
      <c r="AY40" s="81"/>
      <c r="AZ40" s="81"/>
      <c r="BA40" s="92"/>
      <c r="BB40" s="91"/>
      <c r="BC40" s="81"/>
      <c r="BD40" s="81"/>
      <c r="BE40" s="91"/>
      <c r="BF40" s="91"/>
    </row>
    <row r="41" ht="30" customHeight="1" spans="1:58" x14ac:dyDescent="0.25">
      <c r="A41" s="66"/>
      <c r="B41" s="67"/>
      <c r="C41" s="68"/>
      <c r="D41" s="69"/>
      <c r="E41" s="70"/>
      <c r="F41" s="71"/>
      <c r="G41" s="66"/>
      <c r="H41" s="72"/>
      <c r="I41" s="73"/>
      <c r="J41" s="74"/>
      <c r="K41" s="72"/>
      <c r="L41" s="72"/>
      <c r="M41" s="72"/>
      <c r="N41" s="75"/>
      <c r="O41" s="76"/>
      <c r="P41" s="77"/>
      <c r="Q41" s="78"/>
      <c r="R41" s="79"/>
      <c r="S41" s="80"/>
      <c r="T41" s="81"/>
      <c r="U41" s="78"/>
      <c r="V41" s="78"/>
      <c r="W41" s="77"/>
      <c r="X41" s="66"/>
      <c r="Y41" s="79"/>
      <c r="Z41" s="79"/>
      <c r="AA41" s="82"/>
      <c r="AB41" s="77"/>
      <c r="AC41" s="82"/>
      <c r="AD41" s="83"/>
      <c r="AE41" s="84"/>
      <c r="AF41" s="85"/>
      <c r="AG41" s="86"/>
      <c r="AH41" s="87"/>
      <c r="AI41" s="80"/>
      <c r="AJ41" s="88"/>
      <c r="AK41" s="89"/>
      <c r="AL41" s="89"/>
      <c r="AM41" s="78"/>
      <c r="AN41" s="78"/>
      <c r="AO41" s="78"/>
      <c r="AP41" s="66"/>
      <c r="AQ41" s="90"/>
      <c r="AR41" s="91"/>
      <c r="AS41" s="66"/>
      <c r="AT41" s="66"/>
      <c r="AU41" s="91"/>
      <c r="AV41" s="90"/>
      <c r="AW41" s="91"/>
      <c r="AX41" s="81"/>
      <c r="AY41" s="81"/>
      <c r="AZ41" s="81"/>
      <c r="BA41" s="92"/>
      <c r="BB41" s="91"/>
      <c r="BC41" s="81"/>
      <c r="BD41" s="81"/>
      <c r="BE41" s="91"/>
      <c r="BF41" s="91"/>
    </row>
    <row r="42" ht="30.75" customHeight="1" spans="1:58" x14ac:dyDescent="0.25">
      <c r="A42" s="66"/>
      <c r="B42" s="67"/>
      <c r="C42" s="66"/>
      <c r="D42" s="93"/>
      <c r="E42" s="70"/>
      <c r="F42" s="71"/>
      <c r="G42" s="66"/>
      <c r="H42" s="94"/>
      <c r="I42" s="73"/>
      <c r="J42" s="74"/>
      <c r="K42" s="94"/>
      <c r="L42" s="94"/>
      <c r="M42" s="94"/>
      <c r="N42" s="75"/>
      <c r="O42" s="76"/>
      <c r="P42" s="77"/>
      <c r="Q42" s="78"/>
      <c r="R42" s="79"/>
      <c r="S42" s="80"/>
      <c r="T42" s="81"/>
      <c r="U42" s="78"/>
      <c r="V42" s="78"/>
      <c r="W42" s="77"/>
      <c r="X42" s="66"/>
      <c r="Y42" s="79"/>
      <c r="Z42" s="79"/>
      <c r="AA42" s="82"/>
      <c r="AB42" s="77"/>
      <c r="AC42" s="82"/>
      <c r="AD42" s="83"/>
      <c r="AE42" s="95"/>
      <c r="AF42" s="96"/>
      <c r="AG42" s="97"/>
      <c r="AH42" s="98"/>
      <c r="AI42" s="80"/>
      <c r="AJ42" s="88"/>
      <c r="AK42" s="89"/>
      <c r="AL42" s="89"/>
      <c r="AM42" s="78"/>
      <c r="AN42" s="78"/>
      <c r="AO42" s="78"/>
      <c r="AP42" s="66"/>
      <c r="AQ42" s="90"/>
      <c r="AR42" s="91"/>
      <c r="AS42" s="66"/>
      <c r="AT42" s="66"/>
      <c r="AU42" s="91"/>
      <c r="AV42" s="90"/>
      <c r="AW42" s="91"/>
      <c r="AX42" s="81"/>
      <c r="AY42" s="81"/>
      <c r="AZ42" s="81"/>
      <c r="BA42" s="92"/>
      <c r="BB42" s="91"/>
      <c r="BC42" s="81"/>
      <c r="BD42" s="81"/>
      <c r="BE42" s="91"/>
      <c r="BF42" s="91"/>
    </row>
    <row r="43" ht="30" customHeight="1" spans="1:58" x14ac:dyDescent="0.25">
      <c r="A43" s="66"/>
      <c r="B43" s="67"/>
      <c r="C43" s="66"/>
      <c r="D43" s="69"/>
      <c r="E43" s="70"/>
      <c r="F43" s="71"/>
      <c r="G43" s="66"/>
      <c r="H43" s="72"/>
      <c r="I43" s="73"/>
      <c r="J43" s="74"/>
      <c r="K43" s="72"/>
      <c r="L43" s="72"/>
      <c r="M43" s="72"/>
      <c r="N43" s="75"/>
      <c r="O43" s="76"/>
      <c r="P43" s="77"/>
      <c r="Q43" s="78"/>
      <c r="R43" s="79"/>
      <c r="S43" s="80"/>
      <c r="T43" s="81"/>
      <c r="U43" s="78"/>
      <c r="V43" s="78"/>
      <c r="W43" s="77"/>
      <c r="X43" s="66"/>
      <c r="Y43" s="79"/>
      <c r="Z43" s="79"/>
      <c r="AA43" s="82"/>
      <c r="AB43" s="77"/>
      <c r="AC43" s="82"/>
      <c r="AD43" s="83"/>
      <c r="AE43" s="95"/>
      <c r="AF43" s="96"/>
      <c r="AG43" s="97"/>
      <c r="AH43" s="98"/>
      <c r="AI43" s="80"/>
      <c r="AJ43" s="88"/>
      <c r="AK43" s="89"/>
      <c r="AL43" s="89"/>
      <c r="AM43" s="78"/>
      <c r="AN43" s="78"/>
      <c r="AO43" s="78"/>
      <c r="AP43" s="66"/>
      <c r="AQ43" s="90"/>
      <c r="AR43" s="91"/>
      <c r="AS43" s="66"/>
      <c r="AT43" s="66"/>
      <c r="AU43" s="91"/>
      <c r="AV43" s="90"/>
      <c r="AW43" s="91"/>
      <c r="AX43" s="81"/>
      <c r="AY43" s="81"/>
      <c r="AZ43" s="81"/>
      <c r="BA43" s="92"/>
      <c r="BB43" s="91"/>
      <c r="BC43" s="81"/>
      <c r="BD43" s="81"/>
      <c r="BE43" s="91"/>
      <c r="BF43" s="91"/>
    </row>
    <row r="44" ht="30" customHeight="1" spans="1:58" x14ac:dyDescent="0.25">
      <c r="A44" s="66"/>
      <c r="B44" s="67"/>
      <c r="C44" s="66"/>
      <c r="D44" s="99"/>
      <c r="E44" s="70"/>
      <c r="F44" s="71"/>
      <c r="G44" s="66"/>
      <c r="H44" s="72"/>
      <c r="I44" s="73"/>
      <c r="J44" s="74"/>
      <c r="K44" s="72"/>
      <c r="L44" s="72"/>
      <c r="M44" s="72"/>
      <c r="N44" s="75"/>
      <c r="O44" s="76"/>
      <c r="P44" s="77"/>
      <c r="Q44" s="78"/>
      <c r="R44" s="79"/>
      <c r="S44" s="80"/>
      <c r="T44" s="81"/>
      <c r="U44" s="78"/>
      <c r="V44" s="78"/>
      <c r="W44" s="77"/>
      <c r="X44" s="66"/>
      <c r="Y44" s="79"/>
      <c r="Z44" s="79"/>
      <c r="AA44" s="82"/>
      <c r="AB44" s="77"/>
      <c r="AC44" s="82"/>
      <c r="AD44" s="83"/>
      <c r="AE44" s="95"/>
      <c r="AF44" s="96"/>
      <c r="AG44" s="97"/>
      <c r="AH44" s="98"/>
      <c r="AI44" s="80"/>
      <c r="AJ44" s="88"/>
      <c r="AK44" s="89"/>
      <c r="AL44" s="89"/>
      <c r="AM44" s="78"/>
      <c r="AN44" s="78"/>
      <c r="AO44" s="78"/>
      <c r="AP44" s="66"/>
      <c r="AQ44" s="90"/>
      <c r="AR44" s="91"/>
      <c r="AS44" s="66"/>
      <c r="AT44" s="66"/>
      <c r="AU44" s="91"/>
      <c r="AV44" s="90"/>
      <c r="AW44" s="91"/>
      <c r="AX44" s="81"/>
      <c r="AY44" s="81"/>
      <c r="AZ44" s="66"/>
      <c r="BA44" s="92"/>
      <c r="BB44" s="91"/>
      <c r="BC44" s="81"/>
      <c r="BD44" s="81"/>
      <c r="BE44" s="91"/>
      <c r="BF44" s="91"/>
    </row>
    <row r="45" ht="30" customHeight="1" spans="1:58" x14ac:dyDescent="0.25">
      <c r="A45" s="66"/>
      <c r="B45" s="67"/>
      <c r="C45" s="66"/>
      <c r="D45" s="99"/>
      <c r="E45" s="70"/>
      <c r="F45" s="71"/>
      <c r="G45" s="66"/>
      <c r="H45" s="94"/>
      <c r="I45" s="73"/>
      <c r="J45" s="74"/>
      <c r="K45" s="94"/>
      <c r="L45" s="94"/>
      <c r="M45" s="94"/>
      <c r="N45" s="75"/>
      <c r="O45" s="76"/>
      <c r="P45" s="77"/>
      <c r="Q45" s="78"/>
      <c r="R45" s="79"/>
      <c r="S45" s="80"/>
      <c r="T45" s="81"/>
      <c r="U45" s="78"/>
      <c r="V45" s="78"/>
      <c r="W45" s="77"/>
      <c r="X45" s="66"/>
      <c r="Y45" s="79"/>
      <c r="Z45" s="79"/>
      <c r="AA45" s="82"/>
      <c r="AB45" s="77"/>
      <c r="AC45" s="82"/>
      <c r="AD45" s="83"/>
      <c r="AE45" s="95"/>
      <c r="AF45" s="96"/>
      <c r="AG45" s="97"/>
      <c r="AH45" s="98"/>
      <c r="AI45" s="80"/>
      <c r="AJ45" s="88"/>
      <c r="AK45" s="89"/>
      <c r="AL45" s="89"/>
      <c r="AM45" s="78"/>
      <c r="AN45" s="78"/>
      <c r="AO45" s="78"/>
      <c r="AP45" s="66"/>
      <c r="AQ45" s="90"/>
      <c r="AR45" s="91"/>
      <c r="AS45" s="66"/>
      <c r="AT45" s="66"/>
      <c r="AU45" s="91"/>
      <c r="AV45" s="90"/>
      <c r="AW45" s="91"/>
      <c r="AX45" s="81"/>
      <c r="AY45" s="81"/>
      <c r="AZ45" s="66"/>
      <c r="BA45" s="92"/>
      <c r="BB45" s="91"/>
      <c r="BC45" s="81"/>
      <c r="BD45" s="81"/>
      <c r="BE45" s="91"/>
      <c r="BF45" s="91"/>
    </row>
    <row r="46" ht="30" customHeight="1" spans="1:58" x14ac:dyDescent="0.25">
      <c r="A46" s="66"/>
      <c r="B46" s="67"/>
      <c r="C46" s="68"/>
      <c r="D46" s="69"/>
      <c r="E46" s="70"/>
      <c r="F46" s="71"/>
      <c r="G46" s="66"/>
      <c r="H46" s="72"/>
      <c r="I46" s="73"/>
      <c r="J46" s="74"/>
      <c r="K46" s="72"/>
      <c r="L46" s="72"/>
      <c r="M46" s="72"/>
      <c r="N46" s="75"/>
      <c r="O46" s="76"/>
      <c r="P46" s="77"/>
      <c r="Q46" s="78"/>
      <c r="R46" s="79"/>
      <c r="S46" s="80"/>
      <c r="T46" s="81"/>
      <c r="U46" s="78"/>
      <c r="V46" s="78"/>
      <c r="W46" s="77"/>
      <c r="X46" s="66"/>
      <c r="Y46" s="79"/>
      <c r="Z46" s="79"/>
      <c r="AA46" s="82"/>
      <c r="AB46" s="77"/>
      <c r="AC46" s="82"/>
      <c r="AD46" s="83"/>
      <c r="AE46" s="84"/>
      <c r="AF46" s="85"/>
      <c r="AG46" s="86"/>
      <c r="AH46" s="87"/>
      <c r="AI46" s="80"/>
      <c r="AJ46" s="88"/>
      <c r="AK46" s="89"/>
      <c r="AL46" s="89"/>
      <c r="AM46" s="78"/>
      <c r="AN46" s="78"/>
      <c r="AO46" s="78"/>
      <c r="AP46" s="66"/>
      <c r="AQ46" s="90"/>
      <c r="AR46" s="91"/>
      <c r="AS46" s="66"/>
      <c r="AT46" s="66"/>
      <c r="AU46" s="91"/>
      <c r="AV46" s="90"/>
      <c r="AW46" s="91"/>
      <c r="AX46" s="81"/>
      <c r="AY46" s="81"/>
      <c r="AZ46" s="81"/>
      <c r="BA46" s="92"/>
      <c r="BB46" s="91"/>
      <c r="BC46" s="81"/>
      <c r="BD46" s="81"/>
      <c r="BE46" s="91"/>
      <c r="BF46" s="91"/>
    </row>
    <row r="47" ht="30" customHeight="1" spans="1:58" x14ac:dyDescent="0.25">
      <c r="A47" s="66"/>
      <c r="B47" s="67"/>
      <c r="C47" s="68"/>
      <c r="D47" s="69"/>
      <c r="E47" s="70"/>
      <c r="F47" s="71"/>
      <c r="G47" s="66"/>
      <c r="H47" s="72"/>
      <c r="I47" s="73"/>
      <c r="J47" s="74"/>
      <c r="K47" s="72"/>
      <c r="L47" s="72"/>
      <c r="M47" s="72"/>
      <c r="N47" s="75"/>
      <c r="O47" s="76"/>
      <c r="P47" s="77"/>
      <c r="Q47" s="78"/>
      <c r="R47" s="79"/>
      <c r="S47" s="80"/>
      <c r="T47" s="81"/>
      <c r="U47" s="78"/>
      <c r="V47" s="78"/>
      <c r="W47" s="77"/>
      <c r="X47" s="66"/>
      <c r="Y47" s="79"/>
      <c r="Z47" s="79"/>
      <c r="AA47" s="82"/>
      <c r="AB47" s="77"/>
      <c r="AC47" s="82"/>
      <c r="AD47" s="83"/>
      <c r="AE47" s="84"/>
      <c r="AF47" s="85"/>
      <c r="AG47" s="86"/>
      <c r="AH47" s="87"/>
      <c r="AI47" s="80"/>
      <c r="AJ47" s="88"/>
      <c r="AK47" s="89"/>
      <c r="AL47" s="89"/>
      <c r="AM47" s="78"/>
      <c r="AN47" s="78"/>
      <c r="AO47" s="78"/>
      <c r="AP47" s="66"/>
      <c r="AQ47" s="90"/>
      <c r="AR47" s="91"/>
      <c r="AS47" s="66"/>
      <c r="AT47" s="66"/>
      <c r="AU47" s="91"/>
      <c r="AV47" s="90"/>
      <c r="AW47" s="91"/>
      <c r="AX47" s="81"/>
      <c r="AY47" s="81"/>
      <c r="AZ47" s="81"/>
      <c r="BA47" s="92"/>
      <c r="BB47" s="91"/>
      <c r="BC47" s="81"/>
      <c r="BD47" s="81"/>
      <c r="BE47" s="91"/>
      <c r="BF47" s="91"/>
    </row>
    <row r="48" ht="30" customHeight="1" spans="1:58" x14ac:dyDescent="0.25">
      <c r="A48" s="66"/>
      <c r="B48" s="67"/>
      <c r="C48" s="68"/>
      <c r="D48" s="69"/>
      <c r="E48" s="70"/>
      <c r="F48" s="71"/>
      <c r="G48" s="66"/>
      <c r="H48" s="72"/>
      <c r="I48" s="73"/>
      <c r="J48" s="74"/>
      <c r="K48" s="72"/>
      <c r="L48" s="72"/>
      <c r="M48" s="72"/>
      <c r="N48" s="75"/>
      <c r="O48" s="76"/>
      <c r="P48" s="77"/>
      <c r="Q48" s="78"/>
      <c r="R48" s="79"/>
      <c r="S48" s="80"/>
      <c r="T48" s="81"/>
      <c r="U48" s="78"/>
      <c r="V48" s="78"/>
      <c r="W48" s="77"/>
      <c r="X48" s="66"/>
      <c r="Y48" s="79"/>
      <c r="Z48" s="79"/>
      <c r="AA48" s="82"/>
      <c r="AB48" s="77"/>
      <c r="AC48" s="82"/>
      <c r="AD48" s="83"/>
      <c r="AE48" s="84"/>
      <c r="AF48" s="85"/>
      <c r="AG48" s="86"/>
      <c r="AH48" s="87"/>
      <c r="AI48" s="80"/>
      <c r="AJ48" s="88"/>
      <c r="AK48" s="89"/>
      <c r="AL48" s="89"/>
      <c r="AM48" s="78"/>
      <c r="AN48" s="78"/>
      <c r="AO48" s="78"/>
      <c r="AP48" s="66"/>
      <c r="AQ48" s="90"/>
      <c r="AR48" s="91"/>
      <c r="AS48" s="66"/>
      <c r="AT48" s="66"/>
      <c r="AU48" s="91"/>
      <c r="AV48" s="90"/>
      <c r="AW48" s="91"/>
      <c r="AX48" s="81"/>
      <c r="AY48" s="81"/>
      <c r="AZ48" s="81"/>
      <c r="BA48" s="92"/>
      <c r="BB48" s="91"/>
      <c r="BC48" s="81"/>
      <c r="BD48" s="81"/>
      <c r="BE48" s="91"/>
      <c r="BF48" s="91"/>
    </row>
    <row r="49" ht="30" customHeight="1" spans="1:58" x14ac:dyDescent="0.25">
      <c r="A49" s="66"/>
      <c r="B49" s="67"/>
      <c r="C49" s="68"/>
      <c r="D49" s="69"/>
      <c r="E49" s="70"/>
      <c r="F49" s="71"/>
      <c r="G49" s="66"/>
      <c r="H49" s="72"/>
      <c r="I49" s="73"/>
      <c r="J49" s="74"/>
      <c r="K49" s="72"/>
      <c r="L49" s="72"/>
      <c r="M49" s="72"/>
      <c r="N49" s="75"/>
      <c r="O49" s="76"/>
      <c r="P49" s="77"/>
      <c r="Q49" s="78"/>
      <c r="R49" s="79"/>
      <c r="S49" s="80"/>
      <c r="T49" s="81"/>
      <c r="U49" s="78"/>
      <c r="V49" s="78"/>
      <c r="W49" s="77"/>
      <c r="X49" s="66"/>
      <c r="Y49" s="79"/>
      <c r="Z49" s="79"/>
      <c r="AA49" s="82"/>
      <c r="AB49" s="77"/>
      <c r="AC49" s="82"/>
      <c r="AD49" s="83"/>
      <c r="AE49" s="84"/>
      <c r="AF49" s="85"/>
      <c r="AG49" s="86"/>
      <c r="AH49" s="87"/>
      <c r="AI49" s="80"/>
      <c r="AJ49" s="88"/>
      <c r="AK49" s="89"/>
      <c r="AL49" s="89"/>
      <c r="AM49" s="78"/>
      <c r="AN49" s="78"/>
      <c r="AO49" s="78"/>
      <c r="AP49" s="66"/>
      <c r="AQ49" s="90"/>
      <c r="AR49" s="91"/>
      <c r="AS49" s="66"/>
      <c r="AT49" s="66"/>
      <c r="AU49" s="91"/>
      <c r="AV49" s="90"/>
      <c r="AW49" s="91"/>
      <c r="AX49" s="81"/>
      <c r="AY49" s="81"/>
      <c r="AZ49" s="81"/>
      <c r="BA49" s="92"/>
      <c r="BB49" s="91"/>
      <c r="BC49" s="81"/>
      <c r="BD49" s="81"/>
      <c r="BE49" s="91"/>
      <c r="BF49" s="91"/>
    </row>
    <row r="50" ht="30" customHeight="1" spans="1:58" x14ac:dyDescent="0.25">
      <c r="A50" s="66"/>
      <c r="B50" s="67"/>
      <c r="C50" s="68"/>
      <c r="D50" s="69"/>
      <c r="E50" s="70"/>
      <c r="F50" s="71"/>
      <c r="G50" s="66"/>
      <c r="H50" s="72"/>
      <c r="I50" s="73"/>
      <c r="J50" s="74"/>
      <c r="K50" s="72"/>
      <c r="L50" s="72"/>
      <c r="M50" s="72"/>
      <c r="N50" s="75"/>
      <c r="O50" s="76"/>
      <c r="P50" s="77"/>
      <c r="Q50" s="78"/>
      <c r="R50" s="79"/>
      <c r="S50" s="80"/>
      <c r="T50" s="81"/>
      <c r="U50" s="78"/>
      <c r="V50" s="78"/>
      <c r="W50" s="77"/>
      <c r="X50" s="66"/>
      <c r="Y50" s="79"/>
      <c r="Z50" s="79"/>
      <c r="AA50" s="82"/>
      <c r="AB50" s="77"/>
      <c r="AC50" s="82"/>
      <c r="AD50" s="83"/>
      <c r="AE50" s="84"/>
      <c r="AF50" s="85"/>
      <c r="AG50" s="86"/>
      <c r="AH50" s="87"/>
      <c r="AI50" s="80"/>
      <c r="AJ50" s="88"/>
      <c r="AK50" s="89"/>
      <c r="AL50" s="89"/>
      <c r="AM50" s="78"/>
      <c r="AN50" s="78"/>
      <c r="AO50" s="78"/>
      <c r="AP50" s="66"/>
      <c r="AQ50" s="90"/>
      <c r="AR50" s="91"/>
      <c r="AS50" s="66"/>
      <c r="AT50" s="66"/>
      <c r="AU50" s="91"/>
      <c r="AV50" s="90"/>
      <c r="AW50" s="91"/>
      <c r="AX50" s="81"/>
      <c r="AY50" s="81"/>
      <c r="AZ50" s="81"/>
      <c r="BA50" s="92"/>
      <c r="BB50" s="91"/>
      <c r="BC50" s="81"/>
      <c r="BD50" s="81"/>
      <c r="BE50" s="91"/>
      <c r="BF50" s="91"/>
    </row>
    <row r="51" ht="30" customHeight="1" spans="1:58" x14ac:dyDescent="0.25">
      <c r="A51" s="66"/>
      <c r="B51" s="67"/>
      <c r="C51" s="68"/>
      <c r="D51" s="69"/>
      <c r="E51" s="70"/>
      <c r="F51" s="71"/>
      <c r="G51" s="66"/>
      <c r="H51" s="72"/>
      <c r="I51" s="73"/>
      <c r="J51" s="74"/>
      <c r="K51" s="72"/>
      <c r="L51" s="72"/>
      <c r="M51" s="72"/>
      <c r="N51" s="75"/>
      <c r="O51" s="76"/>
      <c r="P51" s="77"/>
      <c r="Q51" s="78"/>
      <c r="R51" s="79"/>
      <c r="S51" s="80"/>
      <c r="T51" s="81"/>
      <c r="U51" s="78"/>
      <c r="V51" s="78"/>
      <c r="W51" s="77"/>
      <c r="X51" s="66"/>
      <c r="Y51" s="79"/>
      <c r="Z51" s="79"/>
      <c r="AA51" s="82"/>
      <c r="AB51" s="77"/>
      <c r="AC51" s="82"/>
      <c r="AD51" s="83"/>
      <c r="AE51" s="84"/>
      <c r="AF51" s="85"/>
      <c r="AG51" s="86"/>
      <c r="AH51" s="87"/>
      <c r="AI51" s="80"/>
      <c r="AJ51" s="88"/>
      <c r="AK51" s="89"/>
      <c r="AL51" s="89"/>
      <c r="AM51" s="78"/>
      <c r="AN51" s="78"/>
      <c r="AO51" s="78"/>
      <c r="AP51" s="66"/>
      <c r="AQ51" s="90"/>
      <c r="AR51" s="91"/>
      <c r="AS51" s="66"/>
      <c r="AT51" s="66"/>
      <c r="AU51" s="91"/>
      <c r="AV51" s="90"/>
      <c r="AW51" s="91"/>
      <c r="AX51" s="81"/>
      <c r="AY51" s="81"/>
      <c r="AZ51" s="81"/>
      <c r="BA51" s="92"/>
      <c r="BB51" s="91"/>
      <c r="BC51" s="81"/>
      <c r="BD51" s="81"/>
      <c r="BE51" s="91"/>
      <c r="BF51" s="91"/>
    </row>
    <row r="52" ht="30" customHeight="1" spans="1:58" x14ac:dyDescent="0.25">
      <c r="A52" s="66"/>
      <c r="B52" s="67"/>
      <c r="C52" s="68"/>
      <c r="D52" s="69"/>
      <c r="E52" s="70"/>
      <c r="F52" s="71"/>
      <c r="G52" s="66"/>
      <c r="H52" s="72"/>
      <c r="I52" s="73"/>
      <c r="J52" s="74"/>
      <c r="K52" s="72"/>
      <c r="L52" s="72"/>
      <c r="M52" s="72"/>
      <c r="N52" s="75"/>
      <c r="O52" s="76"/>
      <c r="P52" s="77"/>
      <c r="Q52" s="78"/>
      <c r="R52" s="79"/>
      <c r="S52" s="80"/>
      <c r="T52" s="81"/>
      <c r="U52" s="78"/>
      <c r="V52" s="78"/>
      <c r="W52" s="77"/>
      <c r="X52" s="66"/>
      <c r="Y52" s="79"/>
      <c r="Z52" s="79"/>
      <c r="AA52" s="82"/>
      <c r="AB52" s="77"/>
      <c r="AC52" s="82"/>
      <c r="AD52" s="83"/>
      <c r="AE52" s="84"/>
      <c r="AF52" s="85"/>
      <c r="AG52" s="86"/>
      <c r="AH52" s="87"/>
      <c r="AI52" s="80"/>
      <c r="AJ52" s="88"/>
      <c r="AK52" s="89"/>
      <c r="AL52" s="89"/>
      <c r="AM52" s="78"/>
      <c r="AN52" s="78"/>
      <c r="AO52" s="78"/>
      <c r="AP52" s="66"/>
      <c r="AQ52" s="90"/>
      <c r="AR52" s="91"/>
      <c r="AS52" s="66"/>
      <c r="AT52" s="66"/>
      <c r="AU52" s="91"/>
      <c r="AV52" s="90"/>
      <c r="AW52" s="91"/>
      <c r="AX52" s="81"/>
      <c r="AY52" s="81"/>
      <c r="AZ52" s="81"/>
      <c r="BA52" s="92"/>
      <c r="BB52" s="91"/>
      <c r="BC52" s="81"/>
      <c r="BD52" s="81"/>
      <c r="BE52" s="91"/>
      <c r="BF52" s="91"/>
    </row>
    <row r="53" ht="30" customHeight="1" spans="1:58" x14ac:dyDescent="0.25">
      <c r="A53" s="66"/>
      <c r="B53" s="67"/>
      <c r="C53" s="68"/>
      <c r="D53" s="69"/>
      <c r="E53" s="70"/>
      <c r="F53" s="71"/>
      <c r="G53" s="66"/>
      <c r="H53" s="72"/>
      <c r="I53" s="73"/>
      <c r="J53" s="74"/>
      <c r="K53" s="72"/>
      <c r="L53" s="72"/>
      <c r="M53" s="72"/>
      <c r="N53" s="75"/>
      <c r="O53" s="76"/>
      <c r="P53" s="77"/>
      <c r="Q53" s="78"/>
      <c r="R53" s="79"/>
      <c r="S53" s="80"/>
      <c r="T53" s="81"/>
      <c r="U53" s="78"/>
      <c r="V53" s="78"/>
      <c r="W53" s="77"/>
      <c r="X53" s="66"/>
      <c r="Y53" s="79"/>
      <c r="Z53" s="79"/>
      <c r="AA53" s="82"/>
      <c r="AB53" s="77"/>
      <c r="AC53" s="82"/>
      <c r="AD53" s="83"/>
      <c r="AE53" s="84"/>
      <c r="AF53" s="85"/>
      <c r="AG53" s="86"/>
      <c r="AH53" s="87"/>
      <c r="AI53" s="80"/>
      <c r="AJ53" s="88"/>
      <c r="AK53" s="89"/>
      <c r="AL53" s="89"/>
      <c r="AM53" s="78"/>
      <c r="AN53" s="78"/>
      <c r="AO53" s="78"/>
      <c r="AP53" s="66"/>
      <c r="AQ53" s="90"/>
      <c r="AR53" s="91"/>
      <c r="AS53" s="66"/>
      <c r="AT53" s="66"/>
      <c r="AU53" s="91"/>
      <c r="AV53" s="90"/>
      <c r="AW53" s="91"/>
      <c r="AX53" s="81"/>
      <c r="AY53" s="81"/>
      <c r="AZ53" s="81"/>
      <c r="BA53" s="92"/>
      <c r="BB53" s="91"/>
      <c r="BC53" s="81"/>
      <c r="BD53" s="81"/>
      <c r="BE53" s="91"/>
      <c r="BF53" s="91"/>
    </row>
    <row r="54" ht="30.75" customHeight="1" spans="1:58" x14ac:dyDescent="0.25">
      <c r="A54" s="66"/>
      <c r="B54" s="67"/>
      <c r="C54" s="66"/>
      <c r="D54" s="93"/>
      <c r="E54" s="70"/>
      <c r="F54" s="71"/>
      <c r="G54" s="66"/>
      <c r="H54" s="94"/>
      <c r="I54" s="73"/>
      <c r="J54" s="74"/>
      <c r="K54" s="94"/>
      <c r="L54" s="94"/>
      <c r="M54" s="94"/>
      <c r="N54" s="75"/>
      <c r="O54" s="76"/>
      <c r="P54" s="77"/>
      <c r="Q54" s="78"/>
      <c r="R54" s="79"/>
      <c r="S54" s="80"/>
      <c r="T54" s="81"/>
      <c r="U54" s="78"/>
      <c r="V54" s="78"/>
      <c r="W54" s="77"/>
      <c r="X54" s="66"/>
      <c r="Y54" s="79"/>
      <c r="Z54" s="79"/>
      <c r="AA54" s="82"/>
      <c r="AB54" s="77"/>
      <c r="AC54" s="82"/>
      <c r="AD54" s="83"/>
      <c r="AE54" s="95"/>
      <c r="AF54" s="96"/>
      <c r="AG54" s="97"/>
      <c r="AH54" s="98"/>
      <c r="AI54" s="80"/>
      <c r="AJ54" s="88"/>
      <c r="AK54" s="89"/>
      <c r="AL54" s="89"/>
      <c r="AM54" s="78"/>
      <c r="AN54" s="78"/>
      <c r="AO54" s="78"/>
      <c r="AP54" s="66"/>
      <c r="AQ54" s="90"/>
      <c r="AR54" s="91"/>
      <c r="AS54" s="66"/>
      <c r="AT54" s="66"/>
      <c r="AU54" s="91"/>
      <c r="AV54" s="90"/>
      <c r="AW54" s="91"/>
      <c r="AX54" s="81"/>
      <c r="AY54" s="81"/>
      <c r="AZ54" s="81"/>
      <c r="BA54" s="92"/>
      <c r="BB54" s="91"/>
      <c r="BC54" s="81"/>
      <c r="BD54" s="81"/>
      <c r="BE54" s="91"/>
      <c r="BF54" s="91"/>
    </row>
    <row r="55" ht="30" customHeight="1" spans="1:58" x14ac:dyDescent="0.25">
      <c r="A55" s="66"/>
      <c r="B55" s="67"/>
      <c r="C55" s="66"/>
      <c r="D55" s="69"/>
      <c r="E55" s="70"/>
      <c r="F55" s="71"/>
      <c r="G55" s="66"/>
      <c r="H55" s="72"/>
      <c r="I55" s="73"/>
      <c r="J55" s="74"/>
      <c r="K55" s="72"/>
      <c r="L55" s="72"/>
      <c r="M55" s="72"/>
      <c r="N55" s="75"/>
      <c r="O55" s="76"/>
      <c r="P55" s="77"/>
      <c r="Q55" s="78"/>
      <c r="R55" s="79"/>
      <c r="S55" s="80"/>
      <c r="T55" s="81"/>
      <c r="U55" s="78"/>
      <c r="V55" s="78"/>
      <c r="W55" s="77"/>
      <c r="X55" s="66"/>
      <c r="Y55" s="79"/>
      <c r="Z55" s="79"/>
      <c r="AA55" s="82"/>
      <c r="AB55" s="77"/>
      <c r="AC55" s="82"/>
      <c r="AD55" s="83"/>
      <c r="AE55" s="95"/>
      <c r="AF55" s="96"/>
      <c r="AG55" s="97"/>
      <c r="AH55" s="98"/>
      <c r="AI55" s="80"/>
      <c r="AJ55" s="88"/>
      <c r="AK55" s="89"/>
      <c r="AL55" s="89"/>
      <c r="AM55" s="78"/>
      <c r="AN55" s="78"/>
      <c r="AO55" s="78"/>
      <c r="AP55" s="66"/>
      <c r="AQ55" s="90"/>
      <c r="AR55" s="91"/>
      <c r="AS55" s="66"/>
      <c r="AT55" s="66"/>
      <c r="AU55" s="91"/>
      <c r="AV55" s="90"/>
      <c r="AW55" s="91"/>
      <c r="AX55" s="81"/>
      <c r="AY55" s="81"/>
      <c r="AZ55" s="81"/>
      <c r="BA55" s="92"/>
      <c r="BB55" s="91"/>
      <c r="BC55" s="81"/>
      <c r="BD55" s="81"/>
      <c r="BE55" s="91"/>
      <c r="BF55" s="91"/>
    </row>
    <row r="56" ht="30" customHeight="1" spans="1:58" x14ac:dyDescent="0.25">
      <c r="A56" s="66"/>
      <c r="B56" s="67"/>
      <c r="C56" s="66"/>
      <c r="D56" s="99"/>
      <c r="E56" s="70"/>
      <c r="F56" s="71"/>
      <c r="G56" s="66"/>
      <c r="H56" s="72"/>
      <c r="I56" s="73"/>
      <c r="J56" s="74"/>
      <c r="K56" s="72"/>
      <c r="L56" s="72"/>
      <c r="M56" s="72"/>
      <c r="N56" s="75"/>
      <c r="O56" s="76"/>
      <c r="P56" s="77"/>
      <c r="Q56" s="78"/>
      <c r="R56" s="79"/>
      <c r="S56" s="80"/>
      <c r="T56" s="81"/>
      <c r="U56" s="78"/>
      <c r="V56" s="78"/>
      <c r="W56" s="77"/>
      <c r="X56" s="66"/>
      <c r="Y56" s="79"/>
      <c r="Z56" s="79"/>
      <c r="AA56" s="82"/>
      <c r="AB56" s="77"/>
      <c r="AC56" s="82"/>
      <c r="AD56" s="83"/>
      <c r="AE56" s="95"/>
      <c r="AF56" s="96"/>
      <c r="AG56" s="97"/>
      <c r="AH56" s="98"/>
      <c r="AI56" s="80"/>
      <c r="AJ56" s="88"/>
      <c r="AK56" s="89"/>
      <c r="AL56" s="89"/>
      <c r="AM56" s="78"/>
      <c r="AN56" s="78"/>
      <c r="AO56" s="78"/>
      <c r="AP56" s="66"/>
      <c r="AQ56" s="90"/>
      <c r="AR56" s="91"/>
      <c r="AS56" s="66"/>
      <c r="AT56" s="66"/>
      <c r="AU56" s="91"/>
      <c r="AV56" s="90"/>
      <c r="AW56" s="91"/>
      <c r="AX56" s="81"/>
      <c r="AY56" s="81"/>
      <c r="AZ56" s="66"/>
      <c r="BA56" s="92"/>
      <c r="BB56" s="91"/>
      <c r="BC56" s="81"/>
      <c r="BD56" s="81"/>
      <c r="BE56" s="91"/>
      <c r="BF56" s="91"/>
    </row>
    <row r="57" ht="30" customHeight="1" spans="1:58" x14ac:dyDescent="0.25">
      <c r="A57" s="66"/>
      <c r="B57" s="67"/>
      <c r="C57" s="66"/>
      <c r="D57" s="99"/>
      <c r="E57" s="70"/>
      <c r="F57" s="71"/>
      <c r="G57" s="66"/>
      <c r="H57" s="94"/>
      <c r="I57" s="73"/>
      <c r="J57" s="74"/>
      <c r="K57" s="94"/>
      <c r="L57" s="94"/>
      <c r="M57" s="94"/>
      <c r="N57" s="75"/>
      <c r="O57" s="76"/>
      <c r="P57" s="77"/>
      <c r="Q57" s="78"/>
      <c r="R57" s="79"/>
      <c r="S57" s="80"/>
      <c r="T57" s="81"/>
      <c r="U57" s="78"/>
      <c r="V57" s="78"/>
      <c r="W57" s="77"/>
      <c r="X57" s="66"/>
      <c r="Y57" s="79"/>
      <c r="Z57" s="79"/>
      <c r="AA57" s="82"/>
      <c r="AB57" s="77"/>
      <c r="AC57" s="82"/>
      <c r="AD57" s="83"/>
      <c r="AE57" s="95"/>
      <c r="AF57" s="96"/>
      <c r="AG57" s="97"/>
      <c r="AH57" s="98"/>
      <c r="AI57" s="80"/>
      <c r="AJ57" s="88"/>
      <c r="AK57" s="89"/>
      <c r="AL57" s="89"/>
      <c r="AM57" s="78"/>
      <c r="AN57" s="78"/>
      <c r="AO57" s="78"/>
      <c r="AP57" s="66"/>
      <c r="AQ57" s="90"/>
      <c r="AR57" s="91"/>
      <c r="AS57" s="66"/>
      <c r="AT57" s="66"/>
      <c r="AU57" s="91"/>
      <c r="AV57" s="90"/>
      <c r="AW57" s="91"/>
      <c r="AX57" s="81"/>
      <c r="AY57" s="81"/>
      <c r="AZ57" s="66"/>
      <c r="BA57" s="92"/>
      <c r="BB57" s="91"/>
      <c r="BC57" s="81"/>
      <c r="BD57" s="81"/>
      <c r="BE57" s="91"/>
      <c r="BF57" s="91"/>
    </row>
    <row r="58" ht="24.9" customHeight="1" spans="1:58" x14ac:dyDescent="0.25">
      <c r="A58" s="10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2"/>
      <c r="AQ58" s="90"/>
      <c r="AR58" s="91">
        <v>2</v>
      </c>
      <c r="AS58" s="66">
        <v>25</v>
      </c>
      <c r="AT58" s="66">
        <f t="shared" ref="AT58" si="0">AR58*AS58</f>
        <v>50</v>
      </c>
      <c r="AU58" s="91"/>
      <c r="AV58" s="90"/>
      <c r="AW58" s="91"/>
      <c r="AX58" s="81"/>
      <c r="AY58" s="81"/>
      <c r="AZ58" s="81"/>
      <c r="BA58" s="92"/>
      <c r="BB58" s="91"/>
      <c r="BC58" s="81"/>
      <c r="BD58" s="81"/>
      <c r="BE58" s="91"/>
      <c r="BF58" s="91"/>
    </row>
    <row r="59" ht="17.1" customHeight="1" x14ac:dyDescent="0.25"/>
    <row r="60" ht="17.1" customHeight="1" x14ac:dyDescent="0.25"/>
    <row r="61" ht="17.1" customHeight="1" x14ac:dyDescent="0.25"/>
    <row r="62" ht="17.1" customHeight="1" x14ac:dyDescent="0.25"/>
    <row r="63" ht="17.1" customHeight="1" x14ac:dyDescent="0.25"/>
    <row r="64" ht="17.1" customHeight="1" x14ac:dyDescent="0.25"/>
    <row r="65" ht="17.1" customHeight="1" x14ac:dyDescent="0.25"/>
    <row r="66" ht="17.1" customHeight="1" x14ac:dyDescent="0.25"/>
    <row r="67" ht="17.1" customHeight="1" x14ac:dyDescent="0.25"/>
    <row r="68" ht="17.1" customHeight="1" x14ac:dyDescent="0.25"/>
    <row r="69" ht="17.1" customHeight="1" x14ac:dyDescent="0.25"/>
    <row r="70" ht="17.1" customHeight="1" x14ac:dyDescent="0.25"/>
    <row r="71" ht="17.1" customHeight="1" x14ac:dyDescent="0.25"/>
    <row r="72" ht="17.1" customHeight="1" x14ac:dyDescent="0.25"/>
    <row r="73" ht="17.1" customHeight="1" x14ac:dyDescent="0.25"/>
    <row r="74" ht="17.1" customHeight="1" x14ac:dyDescent="0.25"/>
    <row r="75" ht="17.1" customHeight="1" x14ac:dyDescent="0.25"/>
    <row r="76" ht="17.1" customHeight="1" x14ac:dyDescent="0.25"/>
    <row r="77" ht="17.1" customHeight="1" x14ac:dyDescent="0.25"/>
    <row r="78" ht="17.1" customHeight="1" x14ac:dyDescent="0.25"/>
    <row r="79" ht="17.1" customHeight="1" x14ac:dyDescent="0.25"/>
    <row r="80" ht="17.1" customHeight="1" x14ac:dyDescent="0.25"/>
    <row r="81" ht="17.1" customHeight="1" x14ac:dyDescent="0.25"/>
    <row r="82" ht="17.1" customHeight="1" x14ac:dyDescent="0.25"/>
    <row r="83" ht="17.1" customHeight="1" x14ac:dyDescent="0.25"/>
    <row r="84" ht="17.1" customHeight="1" x14ac:dyDescent="0.25"/>
    <row r="85" ht="17.1" customHeight="1" x14ac:dyDescent="0.25"/>
    <row r="86" ht="17.1" customHeight="1" x14ac:dyDescent="0.25"/>
    <row r="87" ht="17.1" customHeight="1" x14ac:dyDescent="0.25"/>
    <row r="88" ht="17.1" customHeight="1" x14ac:dyDescent="0.25"/>
    <row r="89" ht="17.1" customHeight="1" x14ac:dyDescent="0.25"/>
    <row r="90" ht="17.1" customHeight="1" x14ac:dyDescent="0.25"/>
    <row r="91" ht="17.1" customHeight="1" x14ac:dyDescent="0.25"/>
    <row r="92" ht="17.1" customHeight="1" x14ac:dyDescent="0.25"/>
    <row r="93" ht="17.1" customHeight="1" x14ac:dyDescent="0.25"/>
    <row r="94" ht="17.1" customHeight="1" x14ac:dyDescent="0.25"/>
    <row r="95" ht="17.1" customHeight="1" x14ac:dyDescent="0.25"/>
    <row r="96" ht="17.1" customHeight="1" x14ac:dyDescent="0.25"/>
    <row r="97" ht="17.1" customHeight="1" x14ac:dyDescent="0.25"/>
    <row r="98" ht="17.1" customHeight="1" x14ac:dyDescent="0.25"/>
    <row r="99" ht="17.1" customHeight="1" x14ac:dyDescent="0.25"/>
    <row r="100" ht="17.1" customHeight="1" x14ac:dyDescent="0.25"/>
    <row r="101" ht="17.1" customHeight="1" x14ac:dyDescent="0.25"/>
    <row r="102" ht="17.1" customHeight="1" x14ac:dyDescent="0.25"/>
    <row r="103" ht="17.1" customHeight="1" x14ac:dyDescent="0.25"/>
    <row r="104" ht="17.1" customHeight="1" x14ac:dyDescent="0.25"/>
    <row r="105" ht="17.1" customHeight="1" x14ac:dyDescent="0.25"/>
    <row r="106" ht="17.1" customHeight="1" x14ac:dyDescent="0.25"/>
    <row r="107" ht="17.1" customHeight="1" x14ac:dyDescent="0.25"/>
    <row r="108" ht="17.1" customHeight="1" x14ac:dyDescent="0.25"/>
    <row r="109" ht="17.1" customHeight="1" x14ac:dyDescent="0.25"/>
    <row r="110" ht="17.1" customHeight="1" x14ac:dyDescent="0.25"/>
    <row r="111" ht="17.1" customHeight="1" x14ac:dyDescent="0.25"/>
    <row r="112" ht="17.1" customHeight="1" x14ac:dyDescent="0.25"/>
    <row r="113" ht="17.1" customHeight="1" x14ac:dyDescent="0.25"/>
    <row r="114" ht="17.1" customHeight="1" x14ac:dyDescent="0.25"/>
    <row r="115" ht="17.1" customHeight="1" x14ac:dyDescent="0.25"/>
    <row r="116" ht="17.1" customHeight="1" x14ac:dyDescent="0.25"/>
    <row r="117" ht="17.1" customHeight="1" x14ac:dyDescent="0.25"/>
    <row r="118" ht="17.1" customHeight="1" x14ac:dyDescent="0.25"/>
    <row r="119" ht="17.1" customHeight="1" x14ac:dyDescent="0.25"/>
    <row r="120" ht="17.1" customHeight="1" x14ac:dyDescent="0.25"/>
    <row r="121" ht="17.1" customHeight="1" x14ac:dyDescent="0.25"/>
    <row r="122" ht="17.1" customHeight="1" x14ac:dyDescent="0.25"/>
    <row r="123" ht="17.1" customHeight="1" x14ac:dyDescent="0.25"/>
    <row r="124" ht="17.1" customHeight="1" x14ac:dyDescent="0.25"/>
    <row r="125" ht="17.1" customHeight="1" x14ac:dyDescent="0.25"/>
    <row r="126" ht="17.1" customHeight="1" x14ac:dyDescent="0.25"/>
    <row r="127" ht="17.1" customHeight="1" x14ac:dyDescent="0.25"/>
    <row r="128" ht="17.1" customHeight="1" x14ac:dyDescent="0.25"/>
    <row r="129" ht="17.1" customHeight="1" x14ac:dyDescent="0.25"/>
    <row r="130" ht="17.1" customHeight="1" x14ac:dyDescent="0.25"/>
    <row r="131" ht="17.1" customHeight="1" x14ac:dyDescent="0.25"/>
    <row r="132" ht="17.1" customHeight="1" x14ac:dyDescent="0.25"/>
    <row r="133" ht="17.1" customHeight="1" x14ac:dyDescent="0.25"/>
    <row r="134" ht="17.1" customHeight="1" x14ac:dyDescent="0.25"/>
    <row r="135" ht="17.1" customHeight="1" x14ac:dyDescent="0.25"/>
    <row r="136" ht="17.1" customHeight="1" x14ac:dyDescent="0.25"/>
    <row r="137" ht="17.1" customHeight="1" x14ac:dyDescent="0.25"/>
    <row r="138" ht="17.1" customHeight="1" x14ac:dyDescent="0.25"/>
    <row r="139" ht="17.1" customHeight="1" x14ac:dyDescent="0.25"/>
    <row r="140" ht="17.1" customHeight="1" x14ac:dyDescent="0.25"/>
    <row r="141" ht="17.1" customHeight="1" x14ac:dyDescent="0.25"/>
    <row r="142" ht="17.1" customHeight="1" x14ac:dyDescent="0.25"/>
    <row r="143" ht="17.1" customHeight="1" x14ac:dyDescent="0.25"/>
    <row r="144" ht="17.1" customHeight="1" x14ac:dyDescent="0.25"/>
    <row r="145" ht="17.1" customHeight="1" x14ac:dyDescent="0.25"/>
    <row r="146" ht="17.1" customHeight="1" x14ac:dyDescent="0.25"/>
    <row r="147" ht="17.1" customHeight="1" x14ac:dyDescent="0.25"/>
    <row r="148" ht="17.1" customHeight="1" x14ac:dyDescent="0.25"/>
    <row r="149" ht="17.1" customHeight="1" x14ac:dyDescent="0.25"/>
  </sheetData>
  <mergeCells count="17">
    <mergeCell ref="A6:G6"/>
    <mergeCell ref="H7:K7"/>
    <mergeCell ref="L7:M7"/>
    <mergeCell ref="N7:V7"/>
    <mergeCell ref="W7:X7"/>
    <mergeCell ref="AA7:AD7"/>
    <mergeCell ref="AE7:AO7"/>
    <mergeCell ref="AQ7:AZ7"/>
    <mergeCell ref="BA7:BD7"/>
    <mergeCell ref="BE7:BF7"/>
    <mergeCell ref="A7:A8"/>
    <mergeCell ref="B7:B8"/>
    <mergeCell ref="C7:C8"/>
    <mergeCell ref="D7:D8"/>
    <mergeCell ref="Y7:Y8"/>
    <mergeCell ref="AP7:AP8"/>
    <mergeCell ref="A58:AP58"/>
  </mergeCells>
  <conditionalFormatting sqref="X9 X50:X57">
    <cfRule type="expression" dxfId="0" priority="15">
      <formula>$X9&lt;$L9</formula>
    </cfRule>
    <cfRule type="expression" dxfId="1" priority="16">
      <formula>$X9&gt;=$L9</formula>
    </cfRule>
  </conditionalFormatting>
  <conditionalFormatting sqref="X46:X49">
    <cfRule type="expression" dxfId="2" priority="13">
      <formula>$X46&lt;$L46</formula>
    </cfRule>
    <cfRule type="expression" dxfId="3" priority="14">
      <formula>$X46&gt;=$L46</formula>
    </cfRule>
  </conditionalFormatting>
  <conditionalFormatting sqref="X38:X45">
    <cfRule type="expression" dxfId="4" priority="11">
      <formula>$X38&lt;$L38</formula>
    </cfRule>
    <cfRule type="expression" dxfId="5" priority="12">
      <formula>$X38&gt;=$L38</formula>
    </cfRule>
  </conditionalFormatting>
  <conditionalFormatting sqref="X34:X37">
    <cfRule type="expression" dxfId="6" priority="9">
      <formula>$X34&lt;$L34</formula>
    </cfRule>
    <cfRule type="expression" dxfId="7" priority="10">
      <formula>$X34&gt;=$L34</formula>
    </cfRule>
  </conditionalFormatting>
  <conditionalFormatting sqref="X26:X33">
    <cfRule type="expression" dxfId="8" priority="7">
      <formula>$X26&lt;$L26</formula>
    </cfRule>
    <cfRule type="expression" dxfId="9" priority="8">
      <formula>$X26&gt;=$L26</formula>
    </cfRule>
  </conditionalFormatting>
  <conditionalFormatting sqref="X22:X25">
    <cfRule type="expression" dxfId="10" priority="5">
      <formula>$X22&lt;$L22</formula>
    </cfRule>
    <cfRule type="expression" dxfId="11" priority="6">
      <formula>$X22&gt;=$L22</formula>
    </cfRule>
  </conditionalFormatting>
  <conditionalFormatting sqref="X14:X21">
    <cfRule type="expression" dxfId="12" priority="3">
      <formula>$X14&lt;$L14</formula>
    </cfRule>
    <cfRule type="expression" dxfId="13" priority="4">
      <formula>$X14&gt;=$L14</formula>
    </cfRule>
  </conditionalFormatting>
  <conditionalFormatting sqref="X10:X13">
    <cfRule type="expression" dxfId="14" priority="1">
      <formula>$X10&lt;$L10</formula>
    </cfRule>
    <cfRule type="expression" dxfId="15" priority="2">
      <formula>$X10&gt;=$L10</formula>
    </cfRule>
  </conditionalFormatting>
  <dataValidations count="15">
    <dataValidation type="list" allowBlank="1" showInputMessage="1" sqref="N131076:N131094">
      <formula1>VRV機型</formula1>
    </dataValidation>
    <dataValidation type="list" allowBlank="1" showInputMessage="1" sqref="N196612:N196630">
      <formula1>VRV機型</formula1>
    </dataValidation>
    <dataValidation type="list" allowBlank="1" showInputMessage="1" sqref="N262148:N262166">
      <formula1>VRV機型</formula1>
    </dataValidation>
    <dataValidation type="list" allowBlank="1" showInputMessage="1" sqref="N327684:N327702">
      <formula1>VRV機型</formula1>
    </dataValidation>
    <dataValidation type="list" allowBlank="1" showInputMessage="1" sqref="N393220:N393238">
      <formula1>VRV機型</formula1>
    </dataValidation>
    <dataValidation type="list" allowBlank="1" showInputMessage="1" sqref="N458756:N458774">
      <formula1>VRV機型</formula1>
    </dataValidation>
    <dataValidation type="list" allowBlank="1" showInputMessage="1" sqref="N524292:N524310">
      <formula1>VRV機型</formula1>
    </dataValidation>
    <dataValidation type="list" allowBlank="1" showInputMessage="1" sqref="N589828:N589846">
      <formula1>VRV機型</formula1>
    </dataValidation>
    <dataValidation type="list" allowBlank="1" showInputMessage="1" sqref="N655364:N655382">
      <formula1>VRV機型</formula1>
    </dataValidation>
    <dataValidation type="list" allowBlank="1" showInputMessage="1" sqref="N65540:N65558">
      <formula1>VRV機型</formula1>
    </dataValidation>
    <dataValidation type="list" allowBlank="1" showInputMessage="1" sqref="N720900:N720918">
      <formula1>VRV機型</formula1>
    </dataValidation>
    <dataValidation type="list" allowBlank="1" showInputMessage="1" sqref="N786436:N786454">
      <formula1>VRV機型</formula1>
    </dataValidation>
    <dataValidation type="list" allowBlank="1" showInputMessage="1" sqref="N851972:N851990">
      <formula1>VRV機型</formula1>
    </dataValidation>
    <dataValidation type="list" allowBlank="1" showInputMessage="1" sqref="N917508:N917526">
      <formula1>VRV機型</formula1>
    </dataValidation>
    <dataValidation type="list" allowBlank="1" showInputMessage="1" sqref="N983044:N983062">
      <formula1>VRV機型</formula1>
    </dataValidation>
  </dataValidations>
  <printOptions horizontalCentered="1"/>
  <pageMargins left="0.35433070866141736" right="0.2755905511811024" top="0.5905511811023623" bottom="0.5905511811023623" header="0.4330708661417323" footer="0.5118110236220472"/>
  <pageSetup paperSize="9" orientation="landscape" horizontalDpi="4294967295" verticalDpi="4294967295" scale="27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選機</vt:lpstr>
      <vt:lpstr>資料庫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宇涵 黃</dc:creator>
  <cp:lastModifiedBy>宇涵 黃</cp:lastModifiedBy>
  <dcterms:created xsi:type="dcterms:W3CDTF">2025-12-30T14:27:39Z</dcterms:created>
  <dcterms:modified xsi:type="dcterms:W3CDTF">2026-07-19T13:05:17Z</dcterms:modified>
</cp:coreProperties>
</file>